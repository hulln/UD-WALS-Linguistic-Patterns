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nh23084_student_uni-lj_si/Documents/Študentsko delo/SPOT/WALS/"/>
    </mc:Choice>
  </mc:AlternateContent>
  <xr:revisionPtr revIDLastSave="0" documentId="13_ncr:1_{9FE28B44-13CC-4FCE-8BE6-C535C468E40F}" xr6:coauthVersionLast="47" xr6:coauthVersionMax="47" xr10:uidLastSave="{00000000-0000-0000-0000-000000000000}"/>
  <bookViews>
    <workbookView xWindow="2130" yWindow="2460" windowWidth="22110" windowHeight="17415" xr2:uid="{0652637C-D9B0-4460-990D-1F2864921B21}"/>
  </bookViews>
  <sheets>
    <sheet name="all" sheetId="1" r:id="rId1"/>
    <sheet name="stats" sheetId="2" r:id="rId2"/>
    <sheet name="charts_1" sheetId="3" r:id="rId3"/>
    <sheet name="charts_2" sheetId="4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</calcChain>
</file>

<file path=xl/sharedStrings.xml><?xml version="1.0" encoding="utf-8"?>
<sst xmlns="http://schemas.openxmlformats.org/spreadsheetml/2006/main" count="529" uniqueCount="143">
  <si>
    <t>Language</t>
  </si>
  <si>
    <t>Corpus Type</t>
  </si>
  <si>
    <t>Corpus</t>
  </si>
  <si>
    <t>Pattern</t>
  </si>
  <si>
    <t>Tree</t>
  </si>
  <si>
    <t>Absolute frequency</t>
  </si>
  <si>
    <t>Relative frequency</t>
  </si>
  <si>
    <t>Order</t>
  </si>
  <si>
    <t>Grew-match query</t>
  </si>
  <si>
    <t>Grew-match URL</t>
  </si>
  <si>
    <t>Number of nodes</t>
  </si>
  <si>
    <t>Head node</t>
  </si>
  <si>
    <t>Example</t>
  </si>
  <si>
    <t>French</t>
  </si>
  <si>
    <t>written</t>
  </si>
  <si>
    <t>GSD</t>
  </si>
  <si>
    <t>SVO</t>
  </si>
  <si>
    <t>_ &lt;nsubj _ &gt;obj _</t>
  </si>
  <si>
    <t>16286.6</t>
  </si>
  <si>
    <t>ABC</t>
  </si>
  <si>
    <t>pattern {B []; A []; C []; B -[nsubj]-&gt; A; B -[obj]-&gt; C; B &gt;&gt; A; B &lt;&lt; C}</t>
  </si>
  <si>
    <t>http://universal.grew.fr/?corpus=UD_French-GSD&amp;request=pattern%20%7BB%20%5B%5D%3B%20A%20%5B%5D%3B%20C%20%5B%5D%3B%20B%20-%5Bnsubj%5D-%3E%20A%3B%20B%20-%5Bobj%5D-%3E%20C%3B%20B%20%3E%3E%20A%3B%20B%20%3C%3C%20C%7D</t>
  </si>
  <si>
    <t>_</t>
  </si>
  <si>
    <t xml:space="preserve">Trois ans plus tard, A[il] B[tient] un C[discours] sur la crise. </t>
  </si>
  <si>
    <t>SOV</t>
  </si>
  <si>
    <t>_ &lt;nsubj _ &lt;obj _</t>
  </si>
  <si>
    <t>1958.1</t>
  </si>
  <si>
    <t>pattern {C []; A []; B []; C -[nsubj]-&gt; A; C -[obj]-&gt; B; C &gt;&gt; A; C &gt;&gt; B}</t>
  </si>
  <si>
    <t>http://universal.grew.fr/?corpus=UD_French-GSD&amp;request=pattern%20%7BC%20%5B%5D%3B%20A%20%5B%5D%3B%20B%20%5B%5D%3B%20C%20-%5Bnsubj%5D-%3E%20A%3B%20C%20-%5Bobj%5D-%3E%20B%3B%20C%20%3E%3E%20A%3B%20C%20%3E%3E%20B%7D</t>
  </si>
  <si>
    <t xml:space="preserve">A[Vous] B[m']C[accusez] de "subjectivisme". </t>
  </si>
  <si>
    <t>OSV</t>
  </si>
  <si>
    <t>_ &lt;obj _ &lt;nsubj _</t>
  </si>
  <si>
    <t>784.2</t>
  </si>
  <si>
    <t>pattern {C []; A []; B []; C -[obj]-&gt; A; C -[nsubj]-&gt; B; C &gt;&gt; A; C &gt;&gt; B}</t>
  </si>
  <si>
    <t>http://universal.grew.fr/?corpus=UD_French-GSD&amp;request=pattern%20%7BC%20%5B%5D%3B%20A%20%5B%5D%3B%20B%20%5B%5D%3B%20C%20-%5Bobj%5D-%3E%20A%3B%20C%20-%5Bnsubj%5D-%3E%20B%3B%20C%20%3E%3E%20A%3B%20C%20%3E%3E%20B%7D</t>
  </si>
  <si>
    <t xml:space="preserve">Madame Tellier est une excellente comptable A[que] B[je] C[recommande] vivement ! </t>
  </si>
  <si>
    <t>OVS</t>
  </si>
  <si>
    <t>_ &lt;obj _ &gt;nsubj _</t>
  </si>
  <si>
    <t>189.8</t>
  </si>
  <si>
    <t>pattern {B []; A []; C []; B -[obj]-&gt; A; B -[nsubj]-&gt; C; B &gt;&gt; A; B &lt;&lt; C}</t>
  </si>
  <si>
    <t>http://universal.grew.fr/?corpus=UD_French-GSD&amp;request=pattern%20%7BB%20%5B%5D%3B%20A%20%5B%5D%3B%20C%20%5B%5D%3B%20B%20-%5Bobj%5D-%3E%20A%3B%20B%20-%5Bnsubj%5D-%3E%20C%3B%20B%20%3E%3E%20A%3B%20B%20%3C%3C%20C%7D</t>
  </si>
  <si>
    <t xml:space="preserve">A[Que] B[dit] l'C[Eglise] sur ce point délicat ? </t>
  </si>
  <si>
    <t>VSO</t>
  </si>
  <si>
    <t>_ &gt;nsubj _ &gt;obj _</t>
  </si>
  <si>
    <t>45.0</t>
  </si>
  <si>
    <t>pattern {A []; B []; C []; A -[nsubj]-&gt; B; A -[obj]-&gt; C; A &lt;&lt; B; A &lt;&lt; C}</t>
  </si>
  <si>
    <t>http://universal.grew.fr/?corpus=UD_French-GSD&amp;request=pattern%20%7BA%20%5B%5D%3B%20B%20%5B%5D%3B%20C%20%5B%5D%3B%20A%20-%5Bnsubj%5D-%3E%20B%3B%20A%20-%5Bobj%5D-%3E%20C%3B%20A%20%3C%3C%20B%3B%20A%20%3C%3C%20C%7D</t>
  </si>
  <si>
    <t xml:space="preserve">Comment A[repoussez] B[vous] les C[bateaux] d'immigrés dans les eaux internationales ? </t>
  </si>
  <si>
    <t>VOS</t>
  </si>
  <si>
    <t>_ &gt;obj _ &gt;nsubj _</t>
  </si>
  <si>
    <t>12.5</t>
  </si>
  <si>
    <t>pattern {A []; B []; C []; A -[obj]-&gt; B; A -[nsubj]-&gt; C; A &lt;&lt; B; A &lt;&lt; C}</t>
  </si>
  <si>
    <t>http://universal.grew.fr/?corpus=UD_French-GSD&amp;request=pattern%20%7BA%20%5B%5D%3B%20B%20%5B%5D%3B%20C%20%5B%5D%3B%20A%20-%5Bobj%5D-%3E%20B%3B%20A%20-%5Bnsubj%5D-%3E%20C%3B%20A%20%3C%3C%20B%3B%20A%20%3C%3C%20C%7D</t>
  </si>
  <si>
    <t xml:space="preserve">Deux couples de pilastres toscans l'accostent, entre lesquels A[prennent] B[place] deux C[niches]. </t>
  </si>
  <si>
    <t>spoken</t>
  </si>
  <si>
    <t>Rhapsodie</t>
  </si>
  <si>
    <t>17223.5</t>
  </si>
  <si>
    <t>http://universal.grew.fr/?corpus=UD_French-Rhapsodie&amp;request=pattern%20%7BB%20%5B%5D%3B%20A%20%5B%5D%3B%20C%20%5B%5D%3B%20B%20-%5Bnsubj%5D-%3E%20A%3B%20B%20-%5Bobj%5D-%3E%20C%3B%20B%20%3E%3E%20A%3B%20B%20%3C%3C%20C%7D</t>
  </si>
  <si>
    <t xml:space="preserve">A[vous] n'B[avez] pas autour de vous cette C[impression] que… </t>
  </si>
  <si>
    <t>4611.0</t>
  </si>
  <si>
    <t>http://universal.grew.fr/?corpus=UD_French-Rhapsodie&amp;request=pattern%20%7BC%20%5B%5D%3B%20A%20%5B%5D%3B%20B%20%5B%5D%3B%20C%20-%5Bnsubj%5D-%3E%20A%3B%20C%20-%5Bobj%5D-%3E%20B%3B%20C%20%3E%3E%20A%3B%20C%20%3E%3E%20B%7D</t>
  </si>
  <si>
    <t xml:space="preserve">ben, c'est moi A[qui] B[les] ai C[payés]. </t>
  </si>
  <si>
    <t>2102.1</t>
  </si>
  <si>
    <t>http://universal.grew.fr/?corpus=UD_French-Rhapsodie&amp;request=pattern%20%7BC%20%5B%5D%3B%20A%20%5B%5D%3B%20B%20%5B%5D%3B%20C%20-%5Bobj%5D-%3E%20A%3B%20C%20-%5Bnsubj%5D-%3E%20B%3B%20C%20%3E%3E%20A%3B%20C%20%3E%3E%20B%7D</t>
  </si>
  <si>
    <t xml:space="preserve">c'est des choses A[dont] B[vous] C[parlez] dans, en classe, euh ? </t>
  </si>
  <si>
    <t>226.0</t>
  </si>
  <si>
    <t>http://universal.grew.fr/?corpus=UD_French-Rhapsodie&amp;request=pattern%20%7BB%20%5B%5D%3B%20A%20%5B%5D%3B%20C%20%5B%5D%3B%20B%20-%5Bobj%5D-%3E%20A%3B%20B%20-%5Bnsubj%5D-%3E%20C%3B%20B%20%3E%3E%20A%3B%20B%20%3C%3C%20C%7D</t>
  </si>
  <si>
    <t xml:space="preserve">chose A[que] ne B[fait] aucun C[organisme] d'Etat. </t>
  </si>
  <si>
    <t>45.2</t>
  </si>
  <si>
    <t>http://universal.grew.fr/?corpus=UD_French-Rhapsodie&amp;request=pattern%20%7BA%20%5B%5D%3B%20B%20%5B%5D%3B%20C%20%5B%5D%3B%20A%20-%5Bnsubj%5D-%3E%20B%3B%20A%20-%5Bobj%5D-%3E%20C%3B%20A%20%3C%3C%20B%3B%20A%20%3C%3C%20C%7D</t>
  </si>
  <si>
    <t xml:space="preserve">mais A[connaissez]B[-vous] les C[sites], euh, sociaux spécialisés ? </t>
  </si>
  <si>
    <t>English</t>
  </si>
  <si>
    <t>GUM</t>
  </si>
  <si>
    <t>27196.3</t>
  </si>
  <si>
    <t>http://universal.grew.fr/?corpus=UD_English-GUM&amp;request=pattern%20%7BB%20%5B%5D%3B%20A%20%5B%5D%3B%20C%20%5B%5D%3B%20B%20-%5Bnsubj%5D-%3E%20A%3B%20B%20-%5Bobj%5D-%3E%20C%3B%20B%20%3E%3E%20A%3B%20B%20%3C%3C%20C%7D</t>
  </si>
  <si>
    <t xml:space="preserve">Well A[I] finally B[found] some C[people] there I can dance with. </t>
  </si>
  <si>
    <t>2014.1</t>
  </si>
  <si>
    <t>http://universal.grew.fr/?corpus=UD_English-GUM&amp;request=pattern%20%7BC%20%5B%5D%3B%20A%20%5B%5D%3B%20B%20%5B%5D%3B%20C%20-%5Bobj%5D-%3E%20A%3B%20C%20-%5Bnsubj%5D-%3E%20B%3B%20C%20%3E%3E%20A%3B%20C%20%3E%3E%20B%7D</t>
  </si>
  <si>
    <t xml:space="preserve">Specifically, A[what] would B[you] have C[done] differently? </t>
  </si>
  <si>
    <t>37.1</t>
  </si>
  <si>
    <t>http://universal.grew.fr/?corpus=UD_English-GUM&amp;request=pattern%20%7BC%20%5B%5D%3B%20A%20%5B%5D%3B%20B%20%5B%5D%3B%20C%20-%5Bnsubj%5D-%3E%20A%3B%20C%20-%5Bobj%5D-%3E%20B%3B%20C%20%3E%3E%20A%3B%20C%20%3E%3E%20B%7D</t>
  </si>
  <si>
    <t xml:space="preserve">A[That] 's B[what] you C[implied]. </t>
  </si>
  <si>
    <t>12.4</t>
  </si>
  <si>
    <t>http://universal.grew.fr/?corpus=UD_English-GUM&amp;request=pattern%20%7BB%20%5B%5D%3B%20A%20%5B%5D%3B%20C%20%5B%5D%3B%20B%20-%5Bobj%5D-%3E%20A%3B%20B%20-%5Bnsubj%5D-%3E%20C%3B%20B%20%3E%3E%20A%3B%20B%20%3C%3C%20C%7D</t>
  </si>
  <si>
    <t xml:space="preserve">What did, uh, what ’s his name – A[what] B[did], uh, our, our, wh-, the C[one] that always is dressed up like Undertaker on Facebook? </t>
  </si>
  <si>
    <t>21780.3</t>
  </si>
  <si>
    <t xml:space="preserve">A[Sociologists] have B[explored] the adverse C[consequences] of discrimination [3 – 5]; </t>
  </si>
  <si>
    <t>587.8</t>
  </si>
  <si>
    <t xml:space="preserve">A[Williams], B[she] C[guessed]. </t>
  </si>
  <si>
    <t>Slovenian</t>
  </si>
  <si>
    <t>SSJ</t>
  </si>
  <si>
    <t>7978.4</t>
  </si>
  <si>
    <t>http://universal.grew.fr/?corpus=UD_Slovenian-SSJ&amp;request=pattern%20%7BB%20%5B%5D%3B%20A%20%5B%5D%3B%20C%20%5B%5D%3B%20B%20-%5Bnsubj%5D-%3E%20A%3B%20B%20-%5Bobj%5D-%3E%20C%3B%20B%20%3E%3E%20A%3B%20B%20%3C%3C%20C%7D</t>
  </si>
  <si>
    <t xml:space="preserve">Himenina A[ljubezen] bi tedaj B[potrjevala] institucionalno C[aporijo] prav v svojem revoltu proti njej. </t>
  </si>
  <si>
    <t>3092.5</t>
  </si>
  <si>
    <t>http://universal.grew.fr/?corpus=UD_Slovenian-SSJ&amp;request=pattern%20%7BB%20%5B%5D%3B%20A%20%5B%5D%3B%20C%20%5B%5D%3B%20B%20-%5Bobj%5D-%3E%20A%3B%20B%20-%5Bnsubj%5D-%3E%20C%3B%20B%20%3E%3E%20A%3B%20B%20%3C%3C%20C%7D</t>
  </si>
  <si>
    <t xml:space="preserve">A[Zadevo] dodatno B[zaplete] moje C[nesprejemanje] sebe kot lažnivca. </t>
  </si>
  <si>
    <t>1598.7</t>
  </si>
  <si>
    <t>http://universal.grew.fr/?corpus=UD_Slovenian-SSJ&amp;request=pattern%20%7BC%20%5B%5D%3B%20A%20%5B%5D%3B%20B%20%5B%5D%3B%20C%20-%5Bnsubj%5D-%3E%20A%3B%20C%20-%5Bobj%5D-%3E%20B%3B%20C%20%3E%3E%20A%3B%20C%20%3E%3E%20B%7D</t>
  </si>
  <si>
    <t xml:space="preserve">A[Hrana] B[me] ponavadi C[prebudi] bolje kot kava. </t>
  </si>
  <si>
    <t>1246.7</t>
  </si>
  <si>
    <t>http://universal.grew.fr/?corpus=UD_Slovenian-SSJ&amp;request=pattern%20%7BC%20%5B%5D%3B%20A%20%5B%5D%3B%20B%20%5B%5D%3B%20C%20-%5Bobj%5D-%3E%20A%3B%20C%20-%5Bnsubj%5D-%3E%20B%3B%20C%20%3E%3E%20A%3B%20C%20%3E%3E%20B%7D</t>
  </si>
  <si>
    <t xml:space="preserve">A[Mistika], ki zlorabi svoje moči, B[kabala] C[primerja] s pijancem. </t>
  </si>
  <si>
    <t>404.3</t>
  </si>
  <si>
    <t>http://universal.grew.fr/?corpus=UD_Slovenian-SSJ&amp;request=pattern%20%7BA%20%5B%5D%3B%20B%20%5B%5D%3B%20C%20%5B%5D%3B%20A%20-%5Bnsubj%5D-%3E%20B%3B%20A%20-%5Bobj%5D-%3E%20C%3B%20A%20%3C%3C%20B%3B%20A%20%3C%3C%20C%7D</t>
  </si>
  <si>
    <t xml:space="preserve">Tako A[imajo] najsodobnejši B[zasloni] IPS odzivni C[čas] 25 ms. </t>
  </si>
  <si>
    <t>310.7</t>
  </si>
  <si>
    <t>http://universal.grew.fr/?corpus=UD_Slovenian-SSJ&amp;request=pattern%20%7BA%20%5B%5D%3B%20B%20%5B%5D%3B%20C%20%5B%5D%3B%20A%20-%5Bobj%5D-%3E%20B%3B%20A%20-%5Bnsubj%5D-%3E%20C%3B%20A%20%3C%3C%20B%3B%20A%20%3C%3C%20C%7D</t>
  </si>
  <si>
    <t xml:space="preserve">Če naročnino podarite, A[dobi] B[knjižico] vaš C[obdarovanec] in vi. </t>
  </si>
  <si>
    <t>SST</t>
  </si>
  <si>
    <t>3323.4</t>
  </si>
  <si>
    <t>http://universal.grew.fr/?corpus=UD_Slovenian-SST&amp;request=pattern%20%7BB%20%5B%5D%3B%20A%20%5B%5D%3B%20C%20%5B%5D%3B%20B%20-%5Bnsubj%5D-%3E%20A%3B%20B%20-%5Bobj%5D-%3E%20C%3B%20B%20%3E%3E%20A%3B%20B%20%3C%3C%20C%7D</t>
  </si>
  <si>
    <t xml:space="preserve">A[jaz] bom B[dal] pa še majčkeno C[timijana] . </t>
  </si>
  <si>
    <t>1768.4</t>
  </si>
  <si>
    <t>http://universal.grew.fr/?corpus=UD_Slovenian-SST&amp;request=pattern%20%7BC%20%5B%5D%3B%20A%20%5B%5D%3B%20B%20%5B%5D%3B%20C%20-%5Bnsubj%5D-%3E%20A%3B%20C%20-%5Bobj%5D-%3E%20B%3B%20C%20%3E%3E%20A%3B%20C%20%3E%3E%20B%7D</t>
  </si>
  <si>
    <t xml:space="preserve">A[jaz] B[pojma] C[nimam] , kako ti izbral . </t>
  </si>
  <si>
    <t>1473.7</t>
  </si>
  <si>
    <t>http://universal.grew.fr/?corpus=UD_Slovenian-SST&amp;request=pattern%20%7BB%20%5B%5D%3B%20A%20%5B%5D%3B%20C%20%5B%5D%3B%20B%20-%5Bobj%5D-%3E%20A%3B%20B%20-%5Bnsubj%5D-%3E%20C%3B%20B%20%3E%3E%20A%3B%20B%20%3C%3C%20C%7D</t>
  </si>
  <si>
    <t xml:space="preserve">v principu zelo A[mi] je B[bila] všeč C[nadaljevanka] Igra prestolov . </t>
  </si>
  <si>
    <t>1321.2</t>
  </si>
  <si>
    <t>http://universal.grew.fr/?corpus=UD_Slovenian-SST&amp;request=pattern%20%7BC%20%5B%5D%3B%20A%20%5B%5D%3B%20B%20%5B%5D%3B%20C%20-%5Bobj%5D-%3E%20A%3B%20C%20-%5Bnsubj%5D-%3E%20B%3B%20C%20%3E%3E%20A%3B%20C%20%3E%3E%20B%7D</t>
  </si>
  <si>
    <t xml:space="preserve">in to je tisto , A[kar] B[otrok] tudi C[rabi] , a ne . </t>
  </si>
  <si>
    <t>396.4</t>
  </si>
  <si>
    <t>http://universal.grew.fr/?corpus=UD_Slovenian-SST&amp;request=pattern%20%7BA%20%5B%5D%3B%20B%20%5B%5D%3B%20C%20%5B%5D%3B%20A%20-%5Bnsubj%5D-%3E%20B%3B%20A%20-%5Bobj%5D-%3E%20C%3B%20A%20%3C%3C%20B%3B%20A%20%3C%3C%20C%7D</t>
  </si>
  <si>
    <t xml:space="preserve">pa A[imam] B[jaz] tudi svoje C[obveznosti] . </t>
  </si>
  <si>
    <t>203.3</t>
  </si>
  <si>
    <t>http://universal.grew.fr/?corpus=UD_Slovenian-SST&amp;request=pattern%20%7BA%20%5B%5D%3B%20B%20%5B%5D%3B%20C%20%5B%5D%3B%20A%20-%5Bobj%5D-%3E%20B%3B%20A%20-%5Bnsubj%5D-%3E%20C%3B%20A%20%3C%3C%20B%3B%20A%20%3C%3C%20C%7D</t>
  </si>
  <si>
    <t xml:space="preserve">daj , naj požri , A[boli] B[te] C[kurac] . </t>
  </si>
  <si>
    <t>Proportion in Corpus</t>
  </si>
  <si>
    <t>GUM-W</t>
  </si>
  <si>
    <t>GUM-S</t>
  </si>
  <si>
    <t>(All)</t>
  </si>
  <si>
    <t>Sum of Absolute frequency</t>
  </si>
  <si>
    <t>Column Labels</t>
  </si>
  <si>
    <t>Row Labels</t>
  </si>
  <si>
    <t>Grand Total</t>
  </si>
  <si>
    <t>Word Order</t>
  </si>
  <si>
    <t>French Written</t>
  </si>
  <si>
    <t>French Spoken</t>
  </si>
  <si>
    <t>English Written</t>
  </si>
  <si>
    <t>English Spoken</t>
  </si>
  <si>
    <t>Slovenian Written</t>
  </si>
  <si>
    <t>Slovenian Spoken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</si>
</sst>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8" borderId="1" xfId="0" applyFill="1" applyBorder="1"/>
    <xf numFmtId="0" fontId="0" fillId="7" borderId="0" xfId="0" applyFill="1"/>
    <xf numFmtId="0" fontId="0" fillId="9" borderId="0" xfId="0" applyFill="1"/>
    <xf numFmtId="2" fontId="0" fillId="7" borderId="0" xfId="0" applyNumberForma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7" borderId="2" xfId="0" applyFill="1" applyBorder="1"/>
    <xf numFmtId="0" fontId="0" fillId="7" borderId="3" xfId="0" applyFill="1" applyBorder="1"/>
    <xf numFmtId="0" fontId="0" fillId="8" borderId="3" xfId="0" applyFill="1" applyBorder="1"/>
    <xf numFmtId="2" fontId="0" fillId="7" borderId="3" xfId="0" applyNumberFormat="1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2" borderId="5" xfId="0" applyFill="1" applyBorder="1"/>
    <xf numFmtId="0" fontId="0" fillId="2" borderId="0" xfId="0" applyFill="1"/>
    <xf numFmtId="2" fontId="0" fillId="2" borderId="0" xfId="0" applyNumberFormat="1" applyFill="1"/>
    <xf numFmtId="0" fontId="0" fillId="2" borderId="6" xfId="0" applyFill="1" applyBorder="1"/>
    <xf numFmtId="0" fontId="0" fillId="6" borderId="0" xfId="0" applyFill="1"/>
    <xf numFmtId="2" fontId="0" fillId="6" borderId="0" xfId="0" applyNumberFormat="1" applyFill="1"/>
    <xf numFmtId="0" fontId="0" fillId="13" borderId="0" xfId="0" applyFill="1"/>
    <xf numFmtId="0" fontId="0" fillId="6" borderId="5" xfId="0" applyFill="1" applyBorder="1"/>
    <xf numFmtId="0" fontId="0" fillId="6" borderId="6" xfId="0" applyFill="1" applyBorder="1"/>
    <xf numFmtId="0" fontId="0" fillId="3" borderId="5" xfId="0" applyFill="1" applyBorder="1"/>
    <xf numFmtId="0" fontId="0" fillId="3" borderId="0" xfId="0" applyFill="1"/>
    <xf numFmtId="2" fontId="0" fillId="3" borderId="0" xfId="0" applyNumberFormat="1" applyFill="1"/>
    <xf numFmtId="0" fontId="0" fillId="3" borderId="6" xfId="0" applyFill="1" applyBorder="1"/>
    <xf numFmtId="0" fontId="0" fillId="5" borderId="5" xfId="0" applyFill="1" applyBorder="1"/>
    <xf numFmtId="0" fontId="0" fillId="5" borderId="0" xfId="0" applyFill="1"/>
    <xf numFmtId="2" fontId="0" fillId="5" borderId="0" xfId="0" applyNumberFormat="1" applyFill="1"/>
    <xf numFmtId="0" fontId="0" fillId="5" borderId="6" xfId="0" applyFill="1" applyBorder="1"/>
    <xf numFmtId="0" fontId="0" fillId="4" borderId="5" xfId="0" applyFill="1" applyBorder="1"/>
    <xf numFmtId="0" fontId="0" fillId="4" borderId="0" xfId="0" applyFill="1"/>
    <xf numFmtId="2" fontId="0" fillId="4" borderId="0" xfId="0" applyNumberFormat="1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13" borderId="8" xfId="0" applyFill="1" applyBorder="1"/>
    <xf numFmtId="2" fontId="0" fillId="4" borderId="8" xfId="0" applyNumberFormat="1" applyFill="1" applyBorder="1"/>
    <xf numFmtId="0" fontId="0" fillId="4" borderId="9" xfId="0" applyFill="1" applyBorder="1"/>
    <xf numFmtId="0" fontId="0" fillId="5" borderId="2" xfId="0" applyFill="1" applyBorder="1"/>
    <xf numFmtId="0" fontId="0" fillId="5" borderId="3" xfId="0" applyFill="1" applyBorder="1"/>
    <xf numFmtId="2" fontId="0" fillId="5" borderId="3" xfId="0" applyNumberFormat="1" applyFill="1" applyBorder="1"/>
    <xf numFmtId="0" fontId="0" fillId="5" borderId="4" xfId="0" applyFill="1" applyBorder="1"/>
    <xf numFmtId="0" fontId="0" fillId="6" borderId="2" xfId="0" applyFill="1" applyBorder="1"/>
    <xf numFmtId="0" fontId="0" fillId="6" borderId="3" xfId="0" applyFill="1" applyBorder="1"/>
    <xf numFmtId="2" fontId="0" fillId="6" borderId="3" xfId="0" applyNumberFormat="1" applyFill="1" applyBorder="1"/>
    <xf numFmtId="0" fontId="0" fillId="6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11" borderId="8" xfId="0" applyFill="1" applyBorder="1"/>
    <xf numFmtId="2" fontId="0" fillId="3" borderId="8" xfId="0" applyNumberFormat="1" applyFill="1" applyBorder="1"/>
    <xf numFmtId="0" fontId="0" fillId="3" borderId="9" xfId="0" applyFill="1" applyBorder="1"/>
    <xf numFmtId="0" fontId="0" fillId="2" borderId="10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11" xfId="0" applyFill="1" applyBorder="1"/>
    <xf numFmtId="0" fontId="0" fillId="3" borderId="10" xfId="0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3" borderId="11" xfId="0" applyFill="1" applyBorder="1"/>
    <xf numFmtId="0" fontId="0" fillId="4" borderId="10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4" borderId="1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[OVS_compare_three_corpora.xlsx]charts_1!PivotTable1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charts_1!$B$3:$B$4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charts_1!$A$5:$A$11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charts_1!$B$5:$B$11</c:f>
              <c:numCache>
                <c:formatCode>0.00%</c:formatCode>
                <c:ptCount val="6"/>
                <c:pt idx="0">
                  <c:v>4.5300113250283124E-2</c:v>
                </c:pt>
                <c:pt idx="1">
                  <c:v>1.8875047187617969E-4</c:v>
                </c:pt>
                <c:pt idx="2">
                  <c:v>5.6625141562853911E-4</c:v>
                </c:pt>
                <c:pt idx="3">
                  <c:v>0.95394488486221218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7-4FA8-953E-669A07AE3E21}"/>
            </c:ext>
          </c:extLst>
        </c:ser>
        <c:ser>
          <c:idx val="1"/>
          <c:order val="1"/>
          <c:tx>
            <c:strRef>
              <c:f>charts_1!$C$3:$C$4</c:f>
              <c:strCache>
                <c:ptCount val="1"/>
                <c:pt idx="0">
                  <c:v>French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charts_1!$A$5:$A$11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charts_1!$C$5:$C$11</c:f>
              <c:numCache>
                <c:formatCode>0.00%</c:formatCode>
                <c:ptCount val="6"/>
                <c:pt idx="0">
                  <c:v>4.630788485607009E-2</c:v>
                </c:pt>
                <c:pt idx="1">
                  <c:v>9.7849584708157925E-3</c:v>
                </c:pt>
                <c:pt idx="2">
                  <c:v>0.11241324382751167</c:v>
                </c:pt>
                <c:pt idx="3">
                  <c:v>0.82864944817385366</c:v>
                </c:pt>
                <c:pt idx="4">
                  <c:v>5.6889293434975532E-4</c:v>
                </c:pt>
                <c:pt idx="5">
                  <c:v>2.2755717373990213E-3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7-4FA8-953E-669A07AE3E21}"/>
            </c:ext>
          </c:extLst>
        </c:ser>
        <c:ser>
          <c:idx val="2"/>
          <c:order val="2"/>
          <c:tx>
            <c:strRef>
              <c:f>charts_1!$D$3:$D$4</c:f>
              <c:strCache>
                <c:ptCount val="1"/>
                <c:pt idx="0">
                  <c:v>Slovenian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charts_1!$A$5:$A$11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charts_1!$D$5:$D$11</c:f>
              <c:numCache>
                <c:formatCode>0.00%</c:formatCode>
                <c:ptCount val="6"/>
                <c:pt idx="0">
                  <c:v>9.7617541640312042E-2</c:v>
                </c:pt>
                <c:pt idx="1">
                  <c:v>0.20472274931477968</c:v>
                </c:pt>
                <c:pt idx="2">
                  <c:v>0.12671305081172254</c:v>
                </c:pt>
                <c:pt idx="3">
                  <c:v>0.51823740248787686</c:v>
                </c:pt>
                <c:pt idx="4">
                  <c:v>2.1716213367067257E-2</c:v>
                </c:pt>
                <c:pt idx="5">
                  <c:v>3.099304237824162E-2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47-4FA8-953E-669A07AE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25407"/>
        <c:axId val="605725887"/>
      </c:barChart>
      <c:catAx>
        <c:axId val="60572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05725887"/>
        <c:crosses val="autoZero"/>
        <c:auto val="1"/>
        <c:lblAlgn val="ctr"/>
        <c:lblOffset val="100"/>
        <c:noMultiLvlLbl val="0"/>
      </c:catAx>
      <c:valAx>
        <c:axId val="6057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0572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[OVS_compare_three_corpora.xlsx]charts_1!PivotTable18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charts_1!$B$32:$B$33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charts_1!$A$34:$A$40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charts_1!$B$34:$B$40</c:f>
              <c:numCache>
                <c:formatCode>0.00%</c:formatCode>
                <c:ptCount val="6"/>
                <c:pt idx="0">
                  <c:v>0.21621621621621623</c:v>
                </c:pt>
                <c:pt idx="1">
                  <c:v>9.4517958412098301E-4</c:v>
                </c:pt>
                <c:pt idx="2">
                  <c:v>1.8844221105527637E-3</c:v>
                </c:pt>
                <c:pt idx="3">
                  <c:v>0.34160189253126055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A-409B-9D28-A2655A6FE557}"/>
            </c:ext>
          </c:extLst>
        </c:ser>
        <c:ser>
          <c:idx val="1"/>
          <c:order val="1"/>
          <c:tx>
            <c:strRef>
              <c:f>charts_1!$C$32:$C$33</c:f>
              <c:strCache>
                <c:ptCount val="1"/>
                <c:pt idx="0">
                  <c:v>French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charts_1!$A$34:$A$40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charts_1!$C$34:$C$40</c:f>
              <c:numCache>
                <c:formatCode>0.00%</c:formatCode>
                <c:ptCount val="6"/>
                <c:pt idx="0">
                  <c:v>0.36666666666666664</c:v>
                </c:pt>
                <c:pt idx="1">
                  <c:v>8.1285444234404536E-2</c:v>
                </c:pt>
                <c:pt idx="2">
                  <c:v>0.62060301507537685</c:v>
                </c:pt>
                <c:pt idx="3">
                  <c:v>0.49226089895234876</c:v>
                </c:pt>
                <c:pt idx="4">
                  <c:v>4.6296296296296294E-2</c:v>
                </c:pt>
                <c:pt idx="5">
                  <c:v>0.11976047904191617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A-409B-9D28-A2655A6FE557}"/>
            </c:ext>
          </c:extLst>
        </c:ser>
        <c:ser>
          <c:idx val="2"/>
          <c:order val="2"/>
          <c:tx>
            <c:strRef>
              <c:f>charts_1!$D$32:$D$33</c:f>
              <c:strCache>
                <c:ptCount val="1"/>
                <c:pt idx="0">
                  <c:v>Slovenian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charts_1!$A$34:$A$40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charts_1!$D$34:$D$40</c:f>
              <c:numCache>
                <c:formatCode>0.00%</c:formatCode>
                <c:ptCount val="6"/>
                <c:pt idx="0">
                  <c:v>0.41711711711711713</c:v>
                </c:pt>
                <c:pt idx="1">
                  <c:v>0.91776937618147447</c:v>
                </c:pt>
                <c:pt idx="2">
                  <c:v>0.37751256281407036</c:v>
                </c:pt>
                <c:pt idx="3">
                  <c:v>0.16613720851639066</c:v>
                </c:pt>
                <c:pt idx="4">
                  <c:v>0.95370370370370372</c:v>
                </c:pt>
                <c:pt idx="5">
                  <c:v>0.88023952095808389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A-409B-9D28-A2655A6F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017775"/>
        <c:axId val="666016335"/>
      </c:barChart>
      <c:catAx>
        <c:axId val="66601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66016335"/>
        <c:crosses val="autoZero"/>
        <c:auto val="1"/>
        <c:lblAlgn val="ctr"/>
        <c:lblOffset val="100"/>
        <c:noMultiLvlLbl val="0"/>
      </c:catAx>
      <c:valAx>
        <c:axId val="6660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6601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Subject-Object-Verb</a:t>
            </a:r>
            <a:r>
              <a:rPr lang="af-ZA" baseline="0"/>
              <a:t> Word Order</a:t>
            </a:r>
            <a:endParaRPr lang="af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charts_2!$A$3</c:f>
              <c:strCache>
                <c:ptCount val="1"/>
                <c:pt idx="0">
                  <c:v>SVO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charts_2!$B$3:$G$3</c:f>
              <c:numCache>
                <c:formatCode>General</c:formatCode>
                <c:ptCount val="6"/>
                <c:pt idx="0">
                  <c:v>0.84489999999999998</c:v>
                </c:pt>
                <c:pt idx="1">
                  <c:v>0.71150000000000002</c:v>
                </c:pt>
                <c:pt idx="2">
                  <c:v>0.97370000000000001</c:v>
                </c:pt>
                <c:pt idx="3">
                  <c:v>0.92949999999999999</c:v>
                </c:pt>
                <c:pt idx="4">
                  <c:v>0.54530000000000001</c:v>
                </c:pt>
                <c:pt idx="5">
                  <c:v>0.3916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3-473B-973C-23C94B460649}"/>
            </c:ext>
          </c:extLst>
        </c:ser>
        <c:ser>
          <c:idx val="1"/>
          <c:order val="1"/>
          <c:tx>
            <c:strRef>
              <c:f>charts_2!$A$4</c:f>
              <c:strCache>
                <c:ptCount val="1"/>
                <c:pt idx="0">
                  <c:v>SOV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charts_2!$B$4:$G$4</c:f>
              <c:numCache>
                <c:formatCode>General</c:formatCode>
                <c:ptCount val="6"/>
                <c:pt idx="0">
                  <c:v>0.1016</c:v>
                </c:pt>
                <c:pt idx="1">
                  <c:v>0.1905</c:v>
                </c:pt>
                <c:pt idx="2">
                  <c:v>0</c:v>
                </c:pt>
                <c:pt idx="3">
                  <c:v>0</c:v>
                </c:pt>
                <c:pt idx="4">
                  <c:v>0.10929999999999999</c:v>
                </c:pt>
                <c:pt idx="5">
                  <c:v>0.2084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3-473B-973C-23C94B460649}"/>
            </c:ext>
          </c:extLst>
        </c:ser>
        <c:ser>
          <c:idx val="2"/>
          <c:order val="2"/>
          <c:tx>
            <c:strRef>
              <c:f>charts_2!$A$5</c:f>
              <c:strCache>
                <c:ptCount val="1"/>
                <c:pt idx="0">
                  <c:v>OSV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charts_2!$B$5:$G$5</c:f>
              <c:numCache>
                <c:formatCode>General</c:formatCode>
                <c:ptCount val="6"/>
                <c:pt idx="0">
                  <c:v>4.07E-2</c:v>
                </c:pt>
                <c:pt idx="1">
                  <c:v>8.6800000000000002E-2</c:v>
                </c:pt>
                <c:pt idx="2">
                  <c:v>2.63E-2</c:v>
                </c:pt>
                <c:pt idx="3">
                  <c:v>6.88E-2</c:v>
                </c:pt>
                <c:pt idx="4">
                  <c:v>8.5199999999999998E-2</c:v>
                </c:pt>
                <c:pt idx="5">
                  <c:v>0.15570000000000001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3-473B-973C-23C94B460649}"/>
            </c:ext>
          </c:extLst>
        </c:ser>
        <c:ser>
          <c:idx val="3"/>
          <c:order val="3"/>
          <c:tx>
            <c:strRef>
              <c:f>charts_2!$A$6</c:f>
              <c:strCache>
                <c:ptCount val="1"/>
                <c:pt idx="0">
                  <c:v>OVS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charts_2!$B$6:$G$6</c:f>
              <c:numCache>
                <c:formatCode>General</c:formatCode>
                <c:ptCount val="6"/>
                <c:pt idx="0">
                  <c:v>9.7999999999999997E-3</c:v>
                </c:pt>
                <c:pt idx="1">
                  <c:v>9.2999999999999992E-3</c:v>
                </c:pt>
                <c:pt idx="2">
                  <c:v>0</c:v>
                </c:pt>
                <c:pt idx="3">
                  <c:v>1.2999999999999999E-3</c:v>
                </c:pt>
                <c:pt idx="4">
                  <c:v>0.2114</c:v>
                </c:pt>
                <c:pt idx="5">
                  <c:v>0.17369999999999999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3-473B-973C-23C94B460649}"/>
            </c:ext>
          </c:extLst>
        </c:ser>
        <c:ser>
          <c:idx val="4"/>
          <c:order val="4"/>
          <c:tx>
            <c:strRef>
              <c:f>charts_2!$A$7</c:f>
              <c:strCache>
                <c:ptCount val="1"/>
                <c:pt idx="0">
                  <c:v>VSO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charts_2!$B$7:$G$7</c:f>
              <c:numCache>
                <c:formatCode>General</c:formatCode>
                <c:ptCount val="6"/>
                <c:pt idx="0">
                  <c:v>2.3E-3</c:v>
                </c:pt>
                <c:pt idx="1">
                  <c:v>1.9E-3</c:v>
                </c:pt>
                <c:pt idx="2">
                  <c:v>0</c:v>
                </c:pt>
                <c:pt idx="3">
                  <c:v>0</c:v>
                </c:pt>
                <c:pt idx="4">
                  <c:v>2.76E-2</c:v>
                </c:pt>
                <c:pt idx="5">
                  <c:v>4.6699999999999998E-2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D3-473B-973C-23C94B460649}"/>
            </c:ext>
          </c:extLst>
        </c:ser>
        <c:ser>
          <c:idx val="5"/>
          <c:order val="5"/>
          <c:tx>
            <c:strRef>
              <c:f>charts_2!$A$8</c:f>
              <c:strCache>
                <c:ptCount val="1"/>
                <c:pt idx="0">
                  <c:v>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charts_2!$B$8:$G$8</c:f>
              <c:numCache>
                <c:formatCode>General</c:formatCode>
                <c:ptCount val="6"/>
                <c:pt idx="0">
                  <c:v>5.9999999999999995E-4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2.12E-2</c:v>
                </c:pt>
                <c:pt idx="5">
                  <c:v>2.3900000000000001E-2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D3-473B-973C-23C94B46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856100160"/>
        <c:axId val="856103520"/>
      </c:barChart>
      <c:catAx>
        <c:axId val="85610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03520"/>
        <c:crosses val="autoZero"/>
        <c:auto val="1"/>
        <c:lblAlgn val="ctr"/>
        <c:lblOffset val="100"/>
        <c:noMultiLvlLbl val="0"/>
      </c:catAx>
      <c:valAx>
        <c:axId val="85610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Subject-Object-Verb Word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charts_2!$A$3</c:f>
              <c:strCache>
                <c:ptCount val="1"/>
                <c:pt idx="0">
                  <c:v>SVO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charts_2!$B$3:$G$3</c:f>
              <c:numCache>
                <c:formatCode>General</c:formatCode>
                <c:ptCount val="6"/>
                <c:pt idx="0">
                  <c:v>0.84489999999999998</c:v>
                </c:pt>
                <c:pt idx="1">
                  <c:v>0.71150000000000002</c:v>
                </c:pt>
                <c:pt idx="2">
                  <c:v>0.97370000000000001</c:v>
                </c:pt>
                <c:pt idx="3">
                  <c:v>0.92949999999999999</c:v>
                </c:pt>
                <c:pt idx="4">
                  <c:v>0.54530000000000001</c:v>
                </c:pt>
                <c:pt idx="5">
                  <c:v>0.3916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9-4320-B8F3-23C7837347D9}"/>
            </c:ext>
          </c:extLst>
        </c:ser>
        <c:ser>
          <c:idx val="1"/>
          <c:order val="1"/>
          <c:tx>
            <c:strRef>
              <c:f>charts_2!$A$4</c:f>
              <c:strCache>
                <c:ptCount val="1"/>
                <c:pt idx="0">
                  <c:v>SOV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charts_2!$B$4:$G$4</c:f>
              <c:numCache>
                <c:formatCode>General</c:formatCode>
                <c:ptCount val="6"/>
                <c:pt idx="0">
                  <c:v>0.1016</c:v>
                </c:pt>
                <c:pt idx="1">
                  <c:v>0.1905</c:v>
                </c:pt>
                <c:pt idx="2">
                  <c:v>0</c:v>
                </c:pt>
                <c:pt idx="3">
                  <c:v>0</c:v>
                </c:pt>
                <c:pt idx="4">
                  <c:v>0.10929999999999999</c:v>
                </c:pt>
                <c:pt idx="5">
                  <c:v>0.2084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9-4320-B8F3-23C7837347D9}"/>
            </c:ext>
          </c:extLst>
        </c:ser>
        <c:ser>
          <c:idx val="2"/>
          <c:order val="2"/>
          <c:tx>
            <c:strRef>
              <c:f>charts_2!$A$5</c:f>
              <c:strCache>
                <c:ptCount val="1"/>
                <c:pt idx="0">
                  <c:v>OSV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charts_2!$B$5:$G$5</c:f>
              <c:numCache>
                <c:formatCode>General</c:formatCode>
                <c:ptCount val="6"/>
                <c:pt idx="0">
                  <c:v>4.07E-2</c:v>
                </c:pt>
                <c:pt idx="1">
                  <c:v>8.6800000000000002E-2</c:v>
                </c:pt>
                <c:pt idx="2">
                  <c:v>2.63E-2</c:v>
                </c:pt>
                <c:pt idx="3">
                  <c:v>6.88E-2</c:v>
                </c:pt>
                <c:pt idx="4">
                  <c:v>8.5199999999999998E-2</c:v>
                </c:pt>
                <c:pt idx="5">
                  <c:v>0.15570000000000001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9-4320-B8F3-23C7837347D9}"/>
            </c:ext>
          </c:extLst>
        </c:ser>
        <c:ser>
          <c:idx val="3"/>
          <c:order val="3"/>
          <c:tx>
            <c:strRef>
              <c:f>charts_2!$A$6</c:f>
              <c:strCache>
                <c:ptCount val="1"/>
                <c:pt idx="0">
                  <c:v>OVS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charts_2!$B$6:$G$6</c:f>
              <c:numCache>
                <c:formatCode>General</c:formatCode>
                <c:ptCount val="6"/>
                <c:pt idx="0">
                  <c:v>9.7999999999999997E-3</c:v>
                </c:pt>
                <c:pt idx="1">
                  <c:v>9.2999999999999992E-3</c:v>
                </c:pt>
                <c:pt idx="2">
                  <c:v>0</c:v>
                </c:pt>
                <c:pt idx="3">
                  <c:v>1.2999999999999999E-3</c:v>
                </c:pt>
                <c:pt idx="4">
                  <c:v>0.2114</c:v>
                </c:pt>
                <c:pt idx="5">
                  <c:v>0.17369999999999999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E9-4320-B8F3-23C7837347D9}"/>
            </c:ext>
          </c:extLst>
        </c:ser>
        <c:ser>
          <c:idx val="4"/>
          <c:order val="4"/>
          <c:tx>
            <c:strRef>
              <c:f>charts_2!$A$7</c:f>
              <c:strCache>
                <c:ptCount val="1"/>
                <c:pt idx="0">
                  <c:v>VSO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charts_2!$B$7:$G$7</c:f>
              <c:numCache>
                <c:formatCode>General</c:formatCode>
                <c:ptCount val="6"/>
                <c:pt idx="0">
                  <c:v>2.3E-3</c:v>
                </c:pt>
                <c:pt idx="1">
                  <c:v>1.9E-3</c:v>
                </c:pt>
                <c:pt idx="2">
                  <c:v>0</c:v>
                </c:pt>
                <c:pt idx="3">
                  <c:v>0</c:v>
                </c:pt>
                <c:pt idx="4">
                  <c:v>2.76E-2</c:v>
                </c:pt>
                <c:pt idx="5">
                  <c:v>4.6699999999999998E-2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E9-4320-B8F3-23C7837347D9}"/>
            </c:ext>
          </c:extLst>
        </c:ser>
        <c:ser>
          <c:idx val="5"/>
          <c:order val="5"/>
          <c:tx>
            <c:strRef>
              <c:f>charts_2!$A$8</c:f>
              <c:strCache>
                <c:ptCount val="1"/>
                <c:pt idx="0">
                  <c:v>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charts_2!$B$2:$G$2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charts_2!$B$8:$G$8</c:f>
              <c:numCache>
                <c:formatCode>General</c:formatCode>
                <c:ptCount val="6"/>
                <c:pt idx="0">
                  <c:v>5.9999999999999995E-4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2.12E-2</c:v>
                </c:pt>
                <c:pt idx="5">
                  <c:v>2.3900000000000001E-2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E9-4320-B8F3-23C783734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26080"/>
        <c:axId val="856133280"/>
      </c:barChart>
      <c:catAx>
        <c:axId val="8561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33280"/>
        <c:crosses val="autoZero"/>
        <c:auto val="1"/>
        <c:lblAlgn val="ctr"/>
        <c:lblOffset val="100"/>
        <c:noMultiLvlLbl val="0"/>
      </c:catAx>
      <c:valAx>
        <c:axId val="8561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12</xdr:row>
      <xdr:rowOff>19050</xdr:rowOff>
    </xdr:from>
    <xdr:to>
      <xdr:col>4</xdr:col>
      <xdr:colOff>158750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AFF32-D1C8-24F2-C417-F291474B5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12700</xdr:rowOff>
    </xdr:from>
    <xdr:to>
      <xdr:col>5</xdr:col>
      <xdr:colOff>0</xdr:colOff>
      <xdr:row>55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B84C6-A54E-5EFA-4D0B-CF4EF8C63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181255</xdr:rowOff>
    </xdr:from>
    <xdr:to>
      <xdr:col>7</xdr:col>
      <xdr:colOff>304799</xdr:colOff>
      <xdr:row>23</xdr:row>
      <xdr:rowOff>47905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4F6C03-18A3-5681-1080-D31AF21BC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1961</xdr:rowOff>
    </xdr:from>
    <xdr:to>
      <xdr:col>7</xdr:col>
      <xdr:colOff>300318</xdr:colOff>
      <xdr:row>38</xdr:row>
      <xdr:rowOff>59111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7D39EC-DEB8-0104-B5F8-04345901E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ves Hüll" refreshedDate="45710.811575" createdVersion="8" refreshedVersion="8" minRefreshableVersion="3" recordCount="29" xr:uid="{D6338358-5D5E-4A34-A482-AFD1EAFA4742}">
  <cacheSource type="worksheet">
    <worksheetSource ref="A1:G30" sheet="stats"/>
  </cacheSource>
  <cacheFields count="7">
    <cacheField name="Language" numFmtId="0">
      <sharedItems count="3">
        <s v="French"/>
        <s v="English"/>
        <s v="Slovenian"/>
      </sharedItems>
    </cacheField>
    <cacheField name="Corpus Type" numFmtId="0">
      <sharedItems count="2">
        <s v="written"/>
        <s v="spoken"/>
      </sharedItems>
    </cacheField>
    <cacheField name="Corpus" numFmtId="0">
      <sharedItems/>
    </cacheField>
    <cacheField name="Pattern" numFmtId="0">
      <sharedItems count="6">
        <s v="SVO"/>
        <s v="SOV"/>
        <s v="OSV"/>
        <s v="OVS"/>
        <s v="VSO"/>
        <s v="VOS"/>
      </sharedItems>
    </cacheField>
    <cacheField name="Absolute frequency" numFmtId="2">
      <sharedItems containsSemiMixedTypes="0" containsString="0" containsNumber="1" containsInteger="1" minValue="1" maxValue="6521"/>
    </cacheField>
    <cacheField name="Relative frequency" numFmtId="2">
      <sharedItems/>
    </cacheField>
    <cacheField name="Proportion in Corpus" numFmtId="0">
      <sharedItems containsSemiMixedTypes="0" containsString="0" containsNumber="1" minValue="4.2229729729729732E-4" maxValue="0.97372013651877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s v="GSD"/>
    <x v="0"/>
    <n v="6521"/>
    <s v="16286.6"/>
    <n v="0.84490800725576576"/>
  </r>
  <r>
    <x v="0"/>
    <x v="0"/>
    <s v="GSD"/>
    <x v="1"/>
    <n v="784"/>
    <s v="1958.1"/>
    <n v="0.10158072039388442"/>
  </r>
  <r>
    <x v="0"/>
    <x v="0"/>
    <s v="GSD"/>
    <x v="2"/>
    <n v="314"/>
    <s v="784.2"/>
    <n v="4.0684115055713913E-2"/>
  </r>
  <r>
    <x v="0"/>
    <x v="0"/>
    <s v="GSD"/>
    <x v="3"/>
    <n v="76"/>
    <s v="189.8"/>
    <n v="9.8471106504275721E-3"/>
  </r>
  <r>
    <x v="0"/>
    <x v="0"/>
    <s v="GSD"/>
    <x v="4"/>
    <n v="18"/>
    <s v="45.0"/>
    <n v="2.3322104172065301E-3"/>
  </r>
  <r>
    <x v="0"/>
    <x v="0"/>
    <s v="GSD"/>
    <x v="5"/>
    <n v="5"/>
    <s v="12.5"/>
    <n v="6.4783622700181399E-4"/>
  </r>
  <r>
    <x v="0"/>
    <x v="1"/>
    <s v="Rhapsodie"/>
    <x v="0"/>
    <n v="762"/>
    <s v="17223.5"/>
    <n v="0.71148459383753504"/>
  </r>
  <r>
    <x v="0"/>
    <x v="1"/>
    <s v="Rhapsodie"/>
    <x v="1"/>
    <n v="204"/>
    <s v="4611.0"/>
    <n v="0.19047619047619047"/>
  </r>
  <r>
    <x v="0"/>
    <x v="1"/>
    <s v="Rhapsodie"/>
    <x v="2"/>
    <n v="93"/>
    <s v="2102.1"/>
    <n v="8.683473389355742E-2"/>
  </r>
  <r>
    <x v="0"/>
    <x v="1"/>
    <s v="Rhapsodie"/>
    <x v="3"/>
    <n v="10"/>
    <s v="226.0"/>
    <n v="9.3370681605975722E-3"/>
  </r>
  <r>
    <x v="0"/>
    <x v="1"/>
    <s v="Rhapsodie"/>
    <x v="4"/>
    <n v="2"/>
    <s v="45.2"/>
    <n v="1.8674136321195146E-3"/>
  </r>
  <r>
    <x v="1"/>
    <x v="0"/>
    <s v="GUM-W"/>
    <x v="0"/>
    <n v="2853"/>
    <s v="21780.3"/>
    <n v="0.97372013651877132"/>
  </r>
  <r>
    <x v="1"/>
    <x v="0"/>
    <s v="GUM-W"/>
    <x v="2"/>
    <n v="77"/>
    <s v="587.8"/>
    <n v="2.6279863481228669E-2"/>
  </r>
  <r>
    <x v="1"/>
    <x v="1"/>
    <s v="GUM-S"/>
    <x v="0"/>
    <n v="2201"/>
    <s v="27196.3"/>
    <n v="0.92947635135135132"/>
  </r>
  <r>
    <x v="1"/>
    <x v="1"/>
    <s v="GUM-S"/>
    <x v="2"/>
    <n v="163"/>
    <s v="2014.1"/>
    <n v="6.8834459459459457E-2"/>
  </r>
  <r>
    <x v="1"/>
    <x v="1"/>
    <s v="GUM-S"/>
    <x v="1"/>
    <n v="3"/>
    <s v="37.1"/>
    <n v="1.266891891891892E-3"/>
  </r>
  <r>
    <x v="1"/>
    <x v="1"/>
    <s v="GUM-S"/>
    <x v="3"/>
    <n v="1"/>
    <s v="12.4"/>
    <n v="4.2229729729729732E-4"/>
  </r>
  <r>
    <x v="2"/>
    <x v="0"/>
    <s v="SSJ"/>
    <x v="0"/>
    <n v="2131"/>
    <s v="7978.4"/>
    <n v="0.54529170931422721"/>
  </r>
  <r>
    <x v="2"/>
    <x v="0"/>
    <s v="SSJ"/>
    <x v="3"/>
    <n v="826"/>
    <s v="3092.5"/>
    <n v="0.21136131013306039"/>
  </r>
  <r>
    <x v="2"/>
    <x v="0"/>
    <s v="SSJ"/>
    <x v="1"/>
    <n v="427"/>
    <s v="1598.7"/>
    <n v="0.10926305015353122"/>
  </r>
  <r>
    <x v="2"/>
    <x v="0"/>
    <s v="SSJ"/>
    <x v="2"/>
    <n v="333"/>
    <s v="1246.7"/>
    <n v="8.5209825997952918E-2"/>
  </r>
  <r>
    <x v="2"/>
    <x v="0"/>
    <s v="SSJ"/>
    <x v="4"/>
    <n v="108"/>
    <s v="404.3"/>
    <n v="2.7635619242579325E-2"/>
  </r>
  <r>
    <x v="2"/>
    <x v="0"/>
    <s v="SSJ"/>
    <x v="5"/>
    <n v="83"/>
    <s v="310.7"/>
    <n v="2.1238485158648925E-2"/>
  </r>
  <r>
    <x v="2"/>
    <x v="1"/>
    <s v="SST"/>
    <x v="0"/>
    <n v="327"/>
    <s v="3323.4"/>
    <n v="0.39161676646706589"/>
  </r>
  <r>
    <x v="2"/>
    <x v="1"/>
    <s v="SST"/>
    <x v="1"/>
    <n v="174"/>
    <s v="1768.4"/>
    <n v="0.20838323353293414"/>
  </r>
  <r>
    <x v="2"/>
    <x v="1"/>
    <s v="SST"/>
    <x v="3"/>
    <n v="145"/>
    <s v="1473.7"/>
    <n v="0.17365269461077845"/>
  </r>
  <r>
    <x v="2"/>
    <x v="1"/>
    <s v="SST"/>
    <x v="2"/>
    <n v="130"/>
    <s v="1321.2"/>
    <n v="0.15568862275449102"/>
  </r>
  <r>
    <x v="2"/>
    <x v="1"/>
    <s v="SST"/>
    <x v="4"/>
    <n v="39"/>
    <s v="396.4"/>
    <n v="4.6706586826347304E-2"/>
  </r>
  <r>
    <x v="2"/>
    <x v="1"/>
    <s v="SST"/>
    <x v="5"/>
    <n v="20"/>
    <s v="203.3"/>
    <n v="2.395209580838323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5C27F-8030-4DA2-825F-D3DC11AE89E7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E40" firstHeaderRow="1" firstDataRow="2" firstDataCol="1" rowPageCount="1" colPageCount="1"/>
  <pivotFields count="7">
    <pivotField axis="axisCol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Row" showAll="0">
      <items count="7">
        <item x="2"/>
        <item x="3"/>
        <item x="1"/>
        <item x="0"/>
        <item x="5"/>
        <item x="4"/>
        <item t="default"/>
      </items>
    </pivotField>
    <pivotField dataField="1" numFmtId="2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Absolute frequency" fld="4" showDataAs="percentOfRow" baseField="0" baseItem="0" numFmtId="10"/>
  </dataField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5B85E-406C-409A-85DF-B5F2D0316C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1" firstHeaderRow="1" firstDataRow="2" firstDataCol="1" rowPageCount="1" colPageCount="1"/>
  <pivotFields count="7">
    <pivotField axis="axisCol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Row" showAll="0">
      <items count="7">
        <item x="2"/>
        <item x="3"/>
        <item x="1"/>
        <item x="0"/>
        <item x="5"/>
        <item x="4"/>
        <item t="default"/>
      </items>
    </pivotField>
    <pivotField dataField="1" numFmtId="2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Absolute frequency" fld="4" showDataAs="percentOfCol" baseField="0" baseItem="0" numFmtId="1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190D-AD1C-4A1B-84D8-F117DC8DA36F}">
  <dimension ref="A1:M35"/>
  <sheetViews>
    <sheetView tabSelected="1" workbookViewId="0">
      <selection activeCell="E2" sqref="E2"/>
    </sheetView>
  </sheetViews>
  <sheetFormatPr defaultRowHeight="15"/>
  <cols>
    <col min="3" max="3" width="9.28515625" bestFit="1" customWidth="1"/>
    <col min="4" max="4" width="6.85546875" bestFit="1" customWidth="1"/>
    <col min="7" max="7" width="8.7109375" style="3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6521</v>
      </c>
      <c r="G2" s="3" t="s">
        <v>18</v>
      </c>
      <c r="H2" t="s">
        <v>19</v>
      </c>
      <c r="I2" t="s">
        <v>20</v>
      </c>
      <c r="J2" t="s">
        <v>21</v>
      </c>
      <c r="K2">
        <v>3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>
        <v>784</v>
      </c>
      <c r="G3" s="3" t="s">
        <v>26</v>
      </c>
      <c r="H3" t="s">
        <v>19</v>
      </c>
      <c r="I3" t="s">
        <v>27</v>
      </c>
      <c r="J3" t="s">
        <v>28</v>
      </c>
      <c r="K3">
        <v>3</v>
      </c>
      <c r="L3" t="s">
        <v>22</v>
      </c>
      <c r="M3" t="s">
        <v>29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>
        <v>314</v>
      </c>
      <c r="G4" s="3" t="s">
        <v>32</v>
      </c>
      <c r="H4" t="s">
        <v>19</v>
      </c>
      <c r="I4" t="s">
        <v>33</v>
      </c>
      <c r="J4" t="s">
        <v>34</v>
      </c>
      <c r="K4">
        <v>3</v>
      </c>
      <c r="L4" t="s">
        <v>22</v>
      </c>
      <c r="M4" t="s">
        <v>35</v>
      </c>
    </row>
    <row r="5" spans="1:13">
      <c r="A5" t="s">
        <v>13</v>
      </c>
      <c r="B5" t="s">
        <v>14</v>
      </c>
      <c r="C5" t="s">
        <v>15</v>
      </c>
      <c r="D5" t="s">
        <v>36</v>
      </c>
      <c r="E5" t="s">
        <v>37</v>
      </c>
      <c r="F5">
        <v>76</v>
      </c>
      <c r="G5" s="3" t="s">
        <v>38</v>
      </c>
      <c r="H5" t="s">
        <v>19</v>
      </c>
      <c r="I5" t="s">
        <v>39</v>
      </c>
      <c r="J5" t="s">
        <v>40</v>
      </c>
      <c r="K5">
        <v>3</v>
      </c>
      <c r="L5" t="s">
        <v>22</v>
      </c>
      <c r="M5" t="s">
        <v>41</v>
      </c>
    </row>
    <row r="6" spans="1:13">
      <c r="A6" t="s">
        <v>13</v>
      </c>
      <c r="B6" t="s">
        <v>14</v>
      </c>
      <c r="C6" t="s">
        <v>15</v>
      </c>
      <c r="D6" t="s">
        <v>42</v>
      </c>
      <c r="E6" t="s">
        <v>43</v>
      </c>
      <c r="F6">
        <v>18</v>
      </c>
      <c r="G6" s="3" t="s">
        <v>44</v>
      </c>
      <c r="H6" t="s">
        <v>19</v>
      </c>
      <c r="I6" t="s">
        <v>45</v>
      </c>
      <c r="J6" t="s">
        <v>46</v>
      </c>
      <c r="K6">
        <v>3</v>
      </c>
      <c r="L6" t="s">
        <v>22</v>
      </c>
      <c r="M6" t="s">
        <v>47</v>
      </c>
    </row>
    <row r="7" spans="1:13">
      <c r="A7" t="s">
        <v>13</v>
      </c>
      <c r="B7" t="s">
        <v>14</v>
      </c>
      <c r="C7" t="s">
        <v>15</v>
      </c>
      <c r="D7" t="s">
        <v>48</v>
      </c>
      <c r="E7" t="s">
        <v>49</v>
      </c>
      <c r="F7">
        <v>5</v>
      </c>
      <c r="G7" s="3" t="s">
        <v>50</v>
      </c>
      <c r="H7" t="s">
        <v>19</v>
      </c>
      <c r="I7" t="s">
        <v>51</v>
      </c>
      <c r="J7" t="s">
        <v>52</v>
      </c>
      <c r="K7">
        <v>3</v>
      </c>
      <c r="L7" t="s">
        <v>22</v>
      </c>
      <c r="M7" t="s">
        <v>53</v>
      </c>
    </row>
    <row r="9" spans="1:13">
      <c r="A9" t="s">
        <v>13</v>
      </c>
      <c r="B9" t="s">
        <v>54</v>
      </c>
      <c r="C9" t="s">
        <v>55</v>
      </c>
      <c r="D9" t="s">
        <v>16</v>
      </c>
      <c r="E9" t="s">
        <v>17</v>
      </c>
      <c r="F9">
        <v>762</v>
      </c>
      <c r="G9" s="3" t="s">
        <v>56</v>
      </c>
      <c r="H9" t="s">
        <v>19</v>
      </c>
      <c r="I9" t="s">
        <v>20</v>
      </c>
      <c r="J9" t="s">
        <v>57</v>
      </c>
      <c r="K9">
        <v>3</v>
      </c>
      <c r="L9" t="s">
        <v>22</v>
      </c>
      <c r="M9" t="s">
        <v>58</v>
      </c>
    </row>
    <row r="10" spans="1:13">
      <c r="A10" t="s">
        <v>13</v>
      </c>
      <c r="B10" t="s">
        <v>54</v>
      </c>
      <c r="C10" t="s">
        <v>55</v>
      </c>
      <c r="D10" t="s">
        <v>24</v>
      </c>
      <c r="E10" t="s">
        <v>25</v>
      </c>
      <c r="F10">
        <v>204</v>
      </c>
      <c r="G10" s="3" t="s">
        <v>59</v>
      </c>
      <c r="H10" t="s">
        <v>19</v>
      </c>
      <c r="I10" t="s">
        <v>27</v>
      </c>
      <c r="J10" t="s">
        <v>60</v>
      </c>
      <c r="K10">
        <v>3</v>
      </c>
      <c r="L10" t="s">
        <v>22</v>
      </c>
      <c r="M10" t="s">
        <v>61</v>
      </c>
    </row>
    <row r="11" spans="1:13">
      <c r="A11" t="s">
        <v>13</v>
      </c>
      <c r="B11" t="s">
        <v>54</v>
      </c>
      <c r="C11" t="s">
        <v>55</v>
      </c>
      <c r="D11" t="s">
        <v>30</v>
      </c>
      <c r="E11" t="s">
        <v>31</v>
      </c>
      <c r="F11">
        <v>93</v>
      </c>
      <c r="G11" s="3" t="s">
        <v>62</v>
      </c>
      <c r="H11" t="s">
        <v>19</v>
      </c>
      <c r="I11" t="s">
        <v>33</v>
      </c>
      <c r="J11" t="s">
        <v>63</v>
      </c>
      <c r="K11">
        <v>3</v>
      </c>
      <c r="L11" t="s">
        <v>22</v>
      </c>
      <c r="M11" t="s">
        <v>64</v>
      </c>
    </row>
    <row r="12" spans="1:13">
      <c r="A12" t="s">
        <v>13</v>
      </c>
      <c r="B12" t="s">
        <v>54</v>
      </c>
      <c r="C12" t="s">
        <v>55</v>
      </c>
      <c r="D12" t="s">
        <v>36</v>
      </c>
      <c r="E12" t="s">
        <v>37</v>
      </c>
      <c r="F12">
        <v>10</v>
      </c>
      <c r="G12" s="3" t="s">
        <v>65</v>
      </c>
      <c r="H12" t="s">
        <v>19</v>
      </c>
      <c r="I12" t="s">
        <v>39</v>
      </c>
      <c r="J12" t="s">
        <v>66</v>
      </c>
      <c r="K12">
        <v>3</v>
      </c>
      <c r="L12" t="s">
        <v>22</v>
      </c>
      <c r="M12" t="s">
        <v>67</v>
      </c>
    </row>
    <row r="13" spans="1:13">
      <c r="A13" t="s">
        <v>13</v>
      </c>
      <c r="B13" t="s">
        <v>54</v>
      </c>
      <c r="C13" t="s">
        <v>55</v>
      </c>
      <c r="D13" t="s">
        <v>42</v>
      </c>
      <c r="E13" t="s">
        <v>43</v>
      </c>
      <c r="F13">
        <v>2</v>
      </c>
      <c r="G13" s="3" t="s">
        <v>68</v>
      </c>
      <c r="H13" t="s">
        <v>19</v>
      </c>
      <c r="I13" t="s">
        <v>45</v>
      </c>
      <c r="J13" t="s">
        <v>69</v>
      </c>
      <c r="K13">
        <v>3</v>
      </c>
      <c r="L13" t="s">
        <v>22</v>
      </c>
      <c r="M13" t="s">
        <v>70</v>
      </c>
    </row>
    <row r="15" spans="1:13">
      <c r="A15" t="s">
        <v>71</v>
      </c>
      <c r="B15" t="s">
        <v>54</v>
      </c>
      <c r="C15" t="s">
        <v>72</v>
      </c>
      <c r="D15" t="s">
        <v>16</v>
      </c>
      <c r="E15" t="s">
        <v>17</v>
      </c>
      <c r="F15">
        <v>2201</v>
      </c>
      <c r="G15" s="3" t="s">
        <v>73</v>
      </c>
      <c r="H15" t="s">
        <v>19</v>
      </c>
      <c r="I15" t="s">
        <v>20</v>
      </c>
      <c r="J15" t="s">
        <v>74</v>
      </c>
      <c r="K15">
        <v>3</v>
      </c>
      <c r="L15" t="s">
        <v>22</v>
      </c>
      <c r="M15" t="s">
        <v>75</v>
      </c>
    </row>
    <row r="16" spans="1:13">
      <c r="A16" t="s">
        <v>71</v>
      </c>
      <c r="B16" t="s">
        <v>54</v>
      </c>
      <c r="C16" t="s">
        <v>72</v>
      </c>
      <c r="D16" t="s">
        <v>30</v>
      </c>
      <c r="E16" t="s">
        <v>31</v>
      </c>
      <c r="F16">
        <v>163</v>
      </c>
      <c r="G16" s="3" t="s">
        <v>76</v>
      </c>
      <c r="H16" t="s">
        <v>19</v>
      </c>
      <c r="I16" t="s">
        <v>33</v>
      </c>
      <c r="J16" t="s">
        <v>77</v>
      </c>
      <c r="K16">
        <v>3</v>
      </c>
      <c r="L16" t="s">
        <v>22</v>
      </c>
      <c r="M16" t="s">
        <v>78</v>
      </c>
    </row>
    <row r="17" spans="1:13">
      <c r="A17" t="s">
        <v>71</v>
      </c>
      <c r="B17" t="s">
        <v>54</v>
      </c>
      <c r="C17" t="s">
        <v>72</v>
      </c>
      <c r="D17" t="s">
        <v>24</v>
      </c>
      <c r="E17" t="s">
        <v>25</v>
      </c>
      <c r="F17">
        <v>3</v>
      </c>
      <c r="G17" s="3" t="s">
        <v>79</v>
      </c>
      <c r="H17" t="s">
        <v>19</v>
      </c>
      <c r="I17" t="s">
        <v>27</v>
      </c>
      <c r="J17" t="s">
        <v>80</v>
      </c>
      <c r="K17">
        <v>3</v>
      </c>
      <c r="L17" t="s">
        <v>22</v>
      </c>
      <c r="M17" t="s">
        <v>81</v>
      </c>
    </row>
    <row r="18" spans="1:13">
      <c r="A18" t="s">
        <v>71</v>
      </c>
      <c r="B18" t="s">
        <v>54</v>
      </c>
      <c r="C18" t="s">
        <v>72</v>
      </c>
      <c r="D18" t="s">
        <v>36</v>
      </c>
      <c r="E18" t="s">
        <v>37</v>
      </c>
      <c r="F18">
        <v>1</v>
      </c>
      <c r="G18" s="3" t="s">
        <v>82</v>
      </c>
      <c r="H18" t="s">
        <v>19</v>
      </c>
      <c r="I18" t="s">
        <v>39</v>
      </c>
      <c r="J18" t="s">
        <v>83</v>
      </c>
      <c r="K18">
        <v>3</v>
      </c>
      <c r="L18" t="s">
        <v>22</v>
      </c>
      <c r="M18" t="s">
        <v>84</v>
      </c>
    </row>
    <row r="20" spans="1:13">
      <c r="A20" t="s">
        <v>71</v>
      </c>
      <c r="B20" t="s">
        <v>14</v>
      </c>
      <c r="C20" t="s">
        <v>72</v>
      </c>
      <c r="D20" t="s">
        <v>16</v>
      </c>
      <c r="E20" t="s">
        <v>17</v>
      </c>
      <c r="F20">
        <v>2853</v>
      </c>
      <c r="G20" s="3" t="s">
        <v>85</v>
      </c>
      <c r="H20" t="s">
        <v>19</v>
      </c>
      <c r="I20" t="s">
        <v>20</v>
      </c>
      <c r="J20" t="s">
        <v>74</v>
      </c>
      <c r="K20">
        <v>3</v>
      </c>
      <c r="L20" t="s">
        <v>22</v>
      </c>
      <c r="M20" t="s">
        <v>86</v>
      </c>
    </row>
    <row r="21" spans="1:13">
      <c r="A21" t="s">
        <v>71</v>
      </c>
      <c r="B21" t="s">
        <v>14</v>
      </c>
      <c r="C21" t="s">
        <v>72</v>
      </c>
      <c r="D21" t="s">
        <v>30</v>
      </c>
      <c r="E21" t="s">
        <v>31</v>
      </c>
      <c r="F21">
        <v>77</v>
      </c>
      <c r="G21" s="3" t="s">
        <v>87</v>
      </c>
      <c r="H21" t="s">
        <v>19</v>
      </c>
      <c r="I21" t="s">
        <v>33</v>
      </c>
      <c r="J21" t="s">
        <v>77</v>
      </c>
      <c r="K21">
        <v>3</v>
      </c>
      <c r="L21" t="s">
        <v>22</v>
      </c>
      <c r="M21" t="s">
        <v>88</v>
      </c>
    </row>
    <row r="23" spans="1:13">
      <c r="A23" t="s">
        <v>89</v>
      </c>
      <c r="B23" t="s">
        <v>14</v>
      </c>
      <c r="C23" t="s">
        <v>90</v>
      </c>
      <c r="D23" t="s">
        <v>16</v>
      </c>
      <c r="E23" t="s">
        <v>17</v>
      </c>
      <c r="F23">
        <v>2131</v>
      </c>
      <c r="G23" s="3" t="s">
        <v>91</v>
      </c>
      <c r="H23" t="s">
        <v>19</v>
      </c>
      <c r="I23" t="s">
        <v>20</v>
      </c>
      <c r="J23" t="s">
        <v>92</v>
      </c>
      <c r="K23">
        <v>3</v>
      </c>
      <c r="L23" t="s">
        <v>22</v>
      </c>
      <c r="M23" t="s">
        <v>93</v>
      </c>
    </row>
    <row r="24" spans="1:13">
      <c r="A24" t="s">
        <v>89</v>
      </c>
      <c r="B24" t="s">
        <v>14</v>
      </c>
      <c r="C24" t="s">
        <v>90</v>
      </c>
      <c r="D24" t="s">
        <v>36</v>
      </c>
      <c r="E24" t="s">
        <v>37</v>
      </c>
      <c r="F24">
        <v>826</v>
      </c>
      <c r="G24" s="3" t="s">
        <v>94</v>
      </c>
      <c r="H24" t="s">
        <v>19</v>
      </c>
      <c r="I24" t="s">
        <v>39</v>
      </c>
      <c r="J24" t="s">
        <v>95</v>
      </c>
      <c r="K24">
        <v>3</v>
      </c>
      <c r="L24" t="s">
        <v>22</v>
      </c>
      <c r="M24" t="s">
        <v>96</v>
      </c>
    </row>
    <row r="25" spans="1:13">
      <c r="A25" t="s">
        <v>89</v>
      </c>
      <c r="B25" t="s">
        <v>14</v>
      </c>
      <c r="C25" t="s">
        <v>90</v>
      </c>
      <c r="D25" t="s">
        <v>24</v>
      </c>
      <c r="E25" t="s">
        <v>25</v>
      </c>
      <c r="F25">
        <v>427</v>
      </c>
      <c r="G25" s="3" t="s">
        <v>97</v>
      </c>
      <c r="H25" t="s">
        <v>19</v>
      </c>
      <c r="I25" t="s">
        <v>27</v>
      </c>
      <c r="J25" t="s">
        <v>98</v>
      </c>
      <c r="K25">
        <v>3</v>
      </c>
      <c r="L25" t="s">
        <v>22</v>
      </c>
      <c r="M25" t="s">
        <v>99</v>
      </c>
    </row>
    <row r="26" spans="1:13">
      <c r="A26" t="s">
        <v>89</v>
      </c>
      <c r="B26" t="s">
        <v>14</v>
      </c>
      <c r="C26" t="s">
        <v>90</v>
      </c>
      <c r="D26" t="s">
        <v>30</v>
      </c>
      <c r="E26" t="s">
        <v>31</v>
      </c>
      <c r="F26">
        <v>333</v>
      </c>
      <c r="G26" s="3" t="s">
        <v>100</v>
      </c>
      <c r="H26" t="s">
        <v>19</v>
      </c>
      <c r="I26" t="s">
        <v>33</v>
      </c>
      <c r="J26" t="s">
        <v>101</v>
      </c>
      <c r="K26">
        <v>3</v>
      </c>
      <c r="L26" t="s">
        <v>22</v>
      </c>
      <c r="M26" t="s">
        <v>102</v>
      </c>
    </row>
    <row r="27" spans="1:13">
      <c r="A27" t="s">
        <v>89</v>
      </c>
      <c r="B27" t="s">
        <v>14</v>
      </c>
      <c r="C27" t="s">
        <v>90</v>
      </c>
      <c r="D27" t="s">
        <v>42</v>
      </c>
      <c r="E27" t="s">
        <v>43</v>
      </c>
      <c r="F27">
        <v>108</v>
      </c>
      <c r="G27" s="3" t="s">
        <v>103</v>
      </c>
      <c r="H27" t="s">
        <v>19</v>
      </c>
      <c r="I27" t="s">
        <v>45</v>
      </c>
      <c r="J27" t="s">
        <v>104</v>
      </c>
      <c r="K27">
        <v>3</v>
      </c>
      <c r="L27" t="s">
        <v>22</v>
      </c>
      <c r="M27" t="s">
        <v>105</v>
      </c>
    </row>
    <row r="28" spans="1:13">
      <c r="A28" t="s">
        <v>89</v>
      </c>
      <c r="B28" t="s">
        <v>14</v>
      </c>
      <c r="C28" t="s">
        <v>90</v>
      </c>
      <c r="D28" t="s">
        <v>48</v>
      </c>
      <c r="E28" t="s">
        <v>49</v>
      </c>
      <c r="F28">
        <v>83</v>
      </c>
      <c r="G28" s="3" t="s">
        <v>106</v>
      </c>
      <c r="H28" t="s">
        <v>19</v>
      </c>
      <c r="I28" t="s">
        <v>51</v>
      </c>
      <c r="J28" t="s">
        <v>107</v>
      </c>
      <c r="K28">
        <v>3</v>
      </c>
      <c r="L28" t="s">
        <v>22</v>
      </c>
      <c r="M28" t="s">
        <v>108</v>
      </c>
    </row>
    <row r="30" spans="1:13">
      <c r="A30" t="s">
        <v>89</v>
      </c>
      <c r="B30" t="s">
        <v>54</v>
      </c>
      <c r="C30" t="s">
        <v>109</v>
      </c>
      <c r="D30" t="s">
        <v>16</v>
      </c>
      <c r="E30" t="s">
        <v>17</v>
      </c>
      <c r="F30">
        <v>327</v>
      </c>
      <c r="G30" s="3" t="s">
        <v>110</v>
      </c>
      <c r="H30" t="s">
        <v>19</v>
      </c>
      <c r="I30" t="s">
        <v>20</v>
      </c>
      <c r="J30" t="s">
        <v>111</v>
      </c>
      <c r="K30">
        <v>3</v>
      </c>
      <c r="L30" t="s">
        <v>22</v>
      </c>
      <c r="M30" t="s">
        <v>112</v>
      </c>
    </row>
    <row r="31" spans="1:13">
      <c r="A31" t="s">
        <v>89</v>
      </c>
      <c r="B31" t="s">
        <v>54</v>
      </c>
      <c r="C31" t="s">
        <v>109</v>
      </c>
      <c r="D31" t="s">
        <v>24</v>
      </c>
      <c r="E31" t="s">
        <v>25</v>
      </c>
      <c r="F31">
        <v>174</v>
      </c>
      <c r="G31" s="3" t="s">
        <v>113</v>
      </c>
      <c r="H31" t="s">
        <v>19</v>
      </c>
      <c r="I31" t="s">
        <v>27</v>
      </c>
      <c r="J31" t="s">
        <v>114</v>
      </c>
      <c r="K31">
        <v>3</v>
      </c>
      <c r="L31" t="s">
        <v>22</v>
      </c>
      <c r="M31" t="s">
        <v>115</v>
      </c>
    </row>
    <row r="32" spans="1:13">
      <c r="A32" t="s">
        <v>89</v>
      </c>
      <c r="B32" t="s">
        <v>54</v>
      </c>
      <c r="C32" t="s">
        <v>109</v>
      </c>
      <c r="D32" t="s">
        <v>36</v>
      </c>
      <c r="E32" t="s">
        <v>37</v>
      </c>
      <c r="F32">
        <v>145</v>
      </c>
      <c r="G32" s="3" t="s">
        <v>116</v>
      </c>
      <c r="H32" t="s">
        <v>19</v>
      </c>
      <c r="I32" t="s">
        <v>39</v>
      </c>
      <c r="J32" t="s">
        <v>117</v>
      </c>
      <c r="K32">
        <v>3</v>
      </c>
      <c r="L32" t="s">
        <v>22</v>
      </c>
      <c r="M32" t="s">
        <v>118</v>
      </c>
    </row>
    <row r="33" spans="1:13">
      <c r="A33" t="s">
        <v>89</v>
      </c>
      <c r="B33" t="s">
        <v>54</v>
      </c>
      <c r="C33" t="s">
        <v>109</v>
      </c>
      <c r="D33" t="s">
        <v>30</v>
      </c>
      <c r="E33" t="s">
        <v>31</v>
      </c>
      <c r="F33">
        <v>130</v>
      </c>
      <c r="G33" s="3" t="s">
        <v>119</v>
      </c>
      <c r="H33" t="s">
        <v>19</v>
      </c>
      <c r="I33" t="s">
        <v>33</v>
      </c>
      <c r="J33" t="s">
        <v>120</v>
      </c>
      <c r="K33">
        <v>3</v>
      </c>
      <c r="L33" t="s">
        <v>22</v>
      </c>
      <c r="M33" t="s">
        <v>121</v>
      </c>
    </row>
    <row r="34" spans="1:13">
      <c r="A34" t="s">
        <v>89</v>
      </c>
      <c r="B34" t="s">
        <v>54</v>
      </c>
      <c r="C34" t="s">
        <v>109</v>
      </c>
      <c r="D34" t="s">
        <v>42</v>
      </c>
      <c r="E34" t="s">
        <v>43</v>
      </c>
      <c r="F34">
        <v>39</v>
      </c>
      <c r="G34" s="3" t="s">
        <v>122</v>
      </c>
      <c r="H34" t="s">
        <v>19</v>
      </c>
      <c r="I34" t="s">
        <v>45</v>
      </c>
      <c r="J34" t="s">
        <v>123</v>
      </c>
      <c r="K34">
        <v>3</v>
      </c>
      <c r="L34" t="s">
        <v>22</v>
      </c>
      <c r="M34" t="s">
        <v>124</v>
      </c>
    </row>
    <row r="35" spans="1:13">
      <c r="A35" t="s">
        <v>89</v>
      </c>
      <c r="B35" t="s">
        <v>54</v>
      </c>
      <c r="C35" t="s">
        <v>109</v>
      </c>
      <c r="D35" t="s">
        <v>48</v>
      </c>
      <c r="E35" t="s">
        <v>49</v>
      </c>
      <c r="F35">
        <v>20</v>
      </c>
      <c r="G35" s="3" t="s">
        <v>125</v>
      </c>
      <c r="H35" t="s">
        <v>19</v>
      </c>
      <c r="I35" t="s">
        <v>51</v>
      </c>
      <c r="J35" t="s">
        <v>126</v>
      </c>
      <c r="K35">
        <v>3</v>
      </c>
      <c r="L35" t="s">
        <v>22</v>
      </c>
      <c r="M3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EB3D-8851-4022-BEA6-19188CEABEF7}">
  <dimension ref="A1:G30"/>
  <sheetViews>
    <sheetView topLeftCell="A3" workbookViewId="0">
      <selection activeCell="I9" sqref="I9"/>
    </sheetView>
  </sheetViews>
  <sheetFormatPr defaultRowHeight="15"/>
  <cols>
    <col min="2" max="2" width="11.140625" bestFit="1" customWidth="1"/>
    <col min="3" max="3" width="9.28515625" bestFit="1" customWidth="1"/>
    <col min="4" max="4" width="6.85546875" bestFit="1" customWidth="1"/>
    <col min="5" max="5" width="17.140625" bestFit="1" customWidth="1"/>
    <col min="6" max="6" width="16.5703125" style="4" bestFit="1" customWidth="1"/>
    <col min="7" max="7" width="18.140625" bestFit="1" customWidth="1"/>
  </cols>
  <sheetData>
    <row r="1" spans="1:7" s="1" customFormat="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5" t="s">
        <v>6</v>
      </c>
      <c r="G1" s="1" t="s">
        <v>128</v>
      </c>
    </row>
    <row r="2" spans="1:7">
      <c r="A2" s="16" t="s">
        <v>13</v>
      </c>
      <c r="B2" s="17" t="s">
        <v>14</v>
      </c>
      <c r="C2" s="17" t="s">
        <v>15</v>
      </c>
      <c r="D2" s="18" t="s">
        <v>16</v>
      </c>
      <c r="E2" s="19">
        <v>6521</v>
      </c>
      <c r="F2" s="19" t="s">
        <v>18</v>
      </c>
      <c r="G2" s="20">
        <f>E2 / SUMIFS($E:$E,$C:$C,$C2)</f>
        <v>0.84490800725576576</v>
      </c>
    </row>
    <row r="3" spans="1:7">
      <c r="A3" s="21" t="s">
        <v>13</v>
      </c>
      <c r="B3" s="10" t="s">
        <v>14</v>
      </c>
      <c r="C3" s="10" t="s">
        <v>15</v>
      </c>
      <c r="D3" s="11" t="s">
        <v>24</v>
      </c>
      <c r="E3" s="12">
        <v>784</v>
      </c>
      <c r="F3" s="12" t="s">
        <v>26</v>
      </c>
      <c r="G3" s="22">
        <f t="shared" ref="G3:G30" si="0">E3 / SUMIFS($E:$E,$C:$C,$C3)</f>
        <v>0.10158072039388442</v>
      </c>
    </row>
    <row r="4" spans="1:7">
      <c r="A4" s="21" t="s">
        <v>13</v>
      </c>
      <c r="B4" s="10" t="s">
        <v>14</v>
      </c>
      <c r="C4" s="10" t="s">
        <v>15</v>
      </c>
      <c r="D4" s="13" t="s">
        <v>30</v>
      </c>
      <c r="E4" s="12">
        <v>314</v>
      </c>
      <c r="F4" s="12" t="s">
        <v>32</v>
      </c>
      <c r="G4" s="22">
        <f t="shared" si="0"/>
        <v>4.0684115055713913E-2</v>
      </c>
    </row>
    <row r="5" spans="1:7">
      <c r="A5" s="21" t="s">
        <v>13</v>
      </c>
      <c r="B5" s="10" t="s">
        <v>14</v>
      </c>
      <c r="C5" s="10" t="s">
        <v>15</v>
      </c>
      <c r="D5" s="14" t="s">
        <v>36</v>
      </c>
      <c r="E5" s="12">
        <v>76</v>
      </c>
      <c r="F5" s="12" t="s">
        <v>38</v>
      </c>
      <c r="G5" s="22">
        <f t="shared" si="0"/>
        <v>9.8471106504275721E-3</v>
      </c>
    </row>
    <row r="6" spans="1:7">
      <c r="A6" s="21" t="s">
        <v>13</v>
      </c>
      <c r="B6" s="10" t="s">
        <v>14</v>
      </c>
      <c r="C6" s="10" t="s">
        <v>15</v>
      </c>
      <c r="D6" s="15" t="s">
        <v>42</v>
      </c>
      <c r="E6" s="12">
        <v>18</v>
      </c>
      <c r="F6" s="12" t="s">
        <v>44</v>
      </c>
      <c r="G6" s="22">
        <f t="shared" si="0"/>
        <v>2.3322104172065301E-3</v>
      </c>
    </row>
    <row r="7" spans="1:7">
      <c r="A7" s="21" t="s">
        <v>13</v>
      </c>
      <c r="B7" s="10" t="s">
        <v>14</v>
      </c>
      <c r="C7" s="10" t="s">
        <v>15</v>
      </c>
      <c r="D7" s="29" t="s">
        <v>48</v>
      </c>
      <c r="E7" s="12">
        <v>5</v>
      </c>
      <c r="F7" s="12" t="s">
        <v>50</v>
      </c>
      <c r="G7" s="22">
        <f t="shared" si="0"/>
        <v>6.4783622700181399E-4</v>
      </c>
    </row>
    <row r="8" spans="1:7">
      <c r="A8" s="62" t="s">
        <v>13</v>
      </c>
      <c r="B8" s="63" t="s">
        <v>54</v>
      </c>
      <c r="C8" s="63" t="s">
        <v>55</v>
      </c>
      <c r="D8" s="9" t="s">
        <v>16</v>
      </c>
      <c r="E8" s="64">
        <v>762</v>
      </c>
      <c r="F8" s="64" t="s">
        <v>56</v>
      </c>
      <c r="G8" s="65">
        <f t="shared" si="0"/>
        <v>0.71148459383753504</v>
      </c>
    </row>
    <row r="9" spans="1:7">
      <c r="A9" s="23" t="s">
        <v>13</v>
      </c>
      <c r="B9" s="24" t="s">
        <v>54</v>
      </c>
      <c r="C9" s="24" t="s">
        <v>55</v>
      </c>
      <c r="D9" s="11" t="s">
        <v>24</v>
      </c>
      <c r="E9" s="25">
        <v>204</v>
      </c>
      <c r="F9" s="25" t="s">
        <v>59</v>
      </c>
      <c r="G9" s="26">
        <f t="shared" si="0"/>
        <v>0.19047619047619047</v>
      </c>
    </row>
    <row r="10" spans="1:7">
      <c r="A10" s="23" t="s">
        <v>13</v>
      </c>
      <c r="B10" s="24" t="s">
        <v>54</v>
      </c>
      <c r="C10" s="24" t="s">
        <v>55</v>
      </c>
      <c r="D10" s="13" t="s">
        <v>30</v>
      </c>
      <c r="E10" s="25">
        <v>93</v>
      </c>
      <c r="F10" s="25" t="s">
        <v>62</v>
      </c>
      <c r="G10" s="26">
        <f t="shared" si="0"/>
        <v>8.683473389355742E-2</v>
      </c>
    </row>
    <row r="11" spans="1:7">
      <c r="A11" s="23" t="s">
        <v>13</v>
      </c>
      <c r="B11" s="24" t="s">
        <v>54</v>
      </c>
      <c r="C11" s="24" t="s">
        <v>55</v>
      </c>
      <c r="D11" s="14" t="s">
        <v>36</v>
      </c>
      <c r="E11" s="25">
        <v>10</v>
      </c>
      <c r="F11" s="25" t="s">
        <v>65</v>
      </c>
      <c r="G11" s="26">
        <f t="shared" si="0"/>
        <v>9.3370681605975722E-3</v>
      </c>
    </row>
    <row r="12" spans="1:7" ht="15.75" thickBot="1">
      <c r="A12" s="23" t="s">
        <v>13</v>
      </c>
      <c r="B12" s="24" t="s">
        <v>54</v>
      </c>
      <c r="C12" s="24" t="s">
        <v>55</v>
      </c>
      <c r="D12" s="15" t="s">
        <v>42</v>
      </c>
      <c r="E12" s="25">
        <v>2</v>
      </c>
      <c r="F12" s="25" t="s">
        <v>68</v>
      </c>
      <c r="G12" s="26">
        <f t="shared" si="0"/>
        <v>1.8674136321195146E-3</v>
      </c>
    </row>
    <row r="13" spans="1:7">
      <c r="A13" s="53" t="s">
        <v>71</v>
      </c>
      <c r="B13" s="54" t="s">
        <v>14</v>
      </c>
      <c r="C13" s="54" t="s">
        <v>129</v>
      </c>
      <c r="D13" s="18" t="s">
        <v>16</v>
      </c>
      <c r="E13" s="55">
        <v>2853</v>
      </c>
      <c r="F13" s="55" t="s">
        <v>85</v>
      </c>
      <c r="G13" s="56">
        <f t="shared" si="0"/>
        <v>0.97372013651877132</v>
      </c>
    </row>
    <row r="14" spans="1:7">
      <c r="A14" s="30" t="s">
        <v>71</v>
      </c>
      <c r="B14" s="27" t="s">
        <v>14</v>
      </c>
      <c r="C14" s="27" t="s">
        <v>129</v>
      </c>
      <c r="D14" s="13" t="s">
        <v>30</v>
      </c>
      <c r="E14" s="28">
        <v>77</v>
      </c>
      <c r="F14" s="28" t="s">
        <v>87</v>
      </c>
      <c r="G14" s="31">
        <f t="shared" si="0"/>
        <v>2.6279863481228669E-2</v>
      </c>
    </row>
    <row r="15" spans="1:7">
      <c r="A15" s="66" t="s">
        <v>71</v>
      </c>
      <c r="B15" s="67" t="s">
        <v>54</v>
      </c>
      <c r="C15" s="67" t="s">
        <v>130</v>
      </c>
      <c r="D15" s="9" t="s">
        <v>16</v>
      </c>
      <c r="E15" s="68">
        <v>2201</v>
      </c>
      <c r="F15" s="68" t="s">
        <v>73</v>
      </c>
      <c r="G15" s="69">
        <f t="shared" si="0"/>
        <v>0.92947635135135132</v>
      </c>
    </row>
    <row r="16" spans="1:7">
      <c r="A16" s="32" t="s">
        <v>71</v>
      </c>
      <c r="B16" s="33" t="s">
        <v>54</v>
      </c>
      <c r="C16" s="33" t="s">
        <v>130</v>
      </c>
      <c r="D16" s="13" t="s">
        <v>30</v>
      </c>
      <c r="E16" s="34">
        <v>163</v>
      </c>
      <c r="F16" s="34" t="s">
        <v>76</v>
      </c>
      <c r="G16" s="35">
        <f t="shared" si="0"/>
        <v>6.8834459459459457E-2</v>
      </c>
    </row>
    <row r="17" spans="1:7">
      <c r="A17" s="32" t="s">
        <v>71</v>
      </c>
      <c r="B17" s="33" t="s">
        <v>54</v>
      </c>
      <c r="C17" s="33" t="s">
        <v>130</v>
      </c>
      <c r="D17" s="11" t="s">
        <v>24</v>
      </c>
      <c r="E17" s="34">
        <v>3</v>
      </c>
      <c r="F17" s="34" t="s">
        <v>79</v>
      </c>
      <c r="G17" s="35">
        <f t="shared" si="0"/>
        <v>1.266891891891892E-3</v>
      </c>
    </row>
    <row r="18" spans="1:7" ht="15.75" thickBot="1">
      <c r="A18" s="57" t="s">
        <v>71</v>
      </c>
      <c r="B18" s="58" t="s">
        <v>54</v>
      </c>
      <c r="C18" s="58" t="s">
        <v>130</v>
      </c>
      <c r="D18" s="59" t="s">
        <v>36</v>
      </c>
      <c r="E18" s="60">
        <v>1</v>
      </c>
      <c r="F18" s="60" t="s">
        <v>82</v>
      </c>
      <c r="G18" s="61">
        <f t="shared" si="0"/>
        <v>4.2229729729729732E-4</v>
      </c>
    </row>
    <row r="19" spans="1:7">
      <c r="A19" s="49" t="s">
        <v>89</v>
      </c>
      <c r="B19" s="50" t="s">
        <v>14</v>
      </c>
      <c r="C19" s="50" t="s">
        <v>90</v>
      </c>
      <c r="D19" s="18" t="s">
        <v>16</v>
      </c>
      <c r="E19" s="51">
        <v>2131</v>
      </c>
      <c r="F19" s="51" t="s">
        <v>91</v>
      </c>
      <c r="G19" s="52">
        <f t="shared" si="0"/>
        <v>0.54529170931422721</v>
      </c>
    </row>
    <row r="20" spans="1:7">
      <c r="A20" s="36" t="s">
        <v>89</v>
      </c>
      <c r="B20" s="37" t="s">
        <v>14</v>
      </c>
      <c r="C20" s="37" t="s">
        <v>90</v>
      </c>
      <c r="D20" s="14" t="s">
        <v>36</v>
      </c>
      <c r="E20" s="38">
        <v>826</v>
      </c>
      <c r="F20" s="38" t="s">
        <v>94</v>
      </c>
      <c r="G20" s="39">
        <f t="shared" si="0"/>
        <v>0.21136131013306039</v>
      </c>
    </row>
    <row r="21" spans="1:7">
      <c r="A21" s="36" t="s">
        <v>89</v>
      </c>
      <c r="B21" s="37" t="s">
        <v>14</v>
      </c>
      <c r="C21" s="37" t="s">
        <v>90</v>
      </c>
      <c r="D21" s="11" t="s">
        <v>24</v>
      </c>
      <c r="E21" s="38">
        <v>427</v>
      </c>
      <c r="F21" s="38" t="s">
        <v>97</v>
      </c>
      <c r="G21" s="39">
        <f t="shared" si="0"/>
        <v>0.10926305015353122</v>
      </c>
    </row>
    <row r="22" spans="1:7">
      <c r="A22" s="36" t="s">
        <v>89</v>
      </c>
      <c r="B22" s="37" t="s">
        <v>14</v>
      </c>
      <c r="C22" s="37" t="s">
        <v>90</v>
      </c>
      <c r="D22" s="13" t="s">
        <v>30</v>
      </c>
      <c r="E22" s="38">
        <v>333</v>
      </c>
      <c r="F22" s="38" t="s">
        <v>100</v>
      </c>
      <c r="G22" s="39">
        <f t="shared" si="0"/>
        <v>8.5209825997952918E-2</v>
      </c>
    </row>
    <row r="23" spans="1:7">
      <c r="A23" s="36" t="s">
        <v>89</v>
      </c>
      <c r="B23" s="37" t="s">
        <v>14</v>
      </c>
      <c r="C23" s="37" t="s">
        <v>90</v>
      </c>
      <c r="D23" s="15" t="s">
        <v>42</v>
      </c>
      <c r="E23" s="38">
        <v>108</v>
      </c>
      <c r="F23" s="38" t="s">
        <v>103</v>
      </c>
      <c r="G23" s="39">
        <f t="shared" si="0"/>
        <v>2.7635619242579325E-2</v>
      </c>
    </row>
    <row r="24" spans="1:7">
      <c r="A24" s="36" t="s">
        <v>89</v>
      </c>
      <c r="B24" s="37" t="s">
        <v>14</v>
      </c>
      <c r="C24" s="37" t="s">
        <v>90</v>
      </c>
      <c r="D24" s="29" t="s">
        <v>48</v>
      </c>
      <c r="E24" s="38">
        <v>83</v>
      </c>
      <c r="F24" s="38" t="s">
        <v>106</v>
      </c>
      <c r="G24" s="39">
        <f t="shared" si="0"/>
        <v>2.1238485158648925E-2</v>
      </c>
    </row>
    <row r="25" spans="1:7">
      <c r="A25" s="70" t="s">
        <v>89</v>
      </c>
      <c r="B25" s="71" t="s">
        <v>54</v>
      </c>
      <c r="C25" s="71" t="s">
        <v>109</v>
      </c>
      <c r="D25" s="9" t="s">
        <v>16</v>
      </c>
      <c r="E25" s="72">
        <v>327</v>
      </c>
      <c r="F25" s="72" t="s">
        <v>110</v>
      </c>
      <c r="G25" s="73">
        <f t="shared" si="0"/>
        <v>0.39161676646706589</v>
      </c>
    </row>
    <row r="26" spans="1:7">
      <c r="A26" s="40" t="s">
        <v>89</v>
      </c>
      <c r="B26" s="41" t="s">
        <v>54</v>
      </c>
      <c r="C26" s="41" t="s">
        <v>109</v>
      </c>
      <c r="D26" s="11" t="s">
        <v>24</v>
      </c>
      <c r="E26" s="42">
        <v>174</v>
      </c>
      <c r="F26" s="42" t="s">
        <v>113</v>
      </c>
      <c r="G26" s="43">
        <f t="shared" si="0"/>
        <v>0.20838323353293414</v>
      </c>
    </row>
    <row r="27" spans="1:7">
      <c r="A27" s="40" t="s">
        <v>89</v>
      </c>
      <c r="B27" s="41" t="s">
        <v>54</v>
      </c>
      <c r="C27" s="41" t="s">
        <v>109</v>
      </c>
      <c r="D27" s="14" t="s">
        <v>36</v>
      </c>
      <c r="E27" s="42">
        <v>145</v>
      </c>
      <c r="F27" s="42" t="s">
        <v>116</v>
      </c>
      <c r="G27" s="43">
        <f t="shared" si="0"/>
        <v>0.17365269461077845</v>
      </c>
    </row>
    <row r="28" spans="1:7">
      <c r="A28" s="40" t="s">
        <v>89</v>
      </c>
      <c r="B28" s="41" t="s">
        <v>54</v>
      </c>
      <c r="C28" s="41" t="s">
        <v>109</v>
      </c>
      <c r="D28" s="13" t="s">
        <v>30</v>
      </c>
      <c r="E28" s="42">
        <v>130</v>
      </c>
      <c r="F28" s="42" t="s">
        <v>119</v>
      </c>
      <c r="G28" s="43">
        <f t="shared" si="0"/>
        <v>0.15568862275449102</v>
      </c>
    </row>
    <row r="29" spans="1:7">
      <c r="A29" s="40" t="s">
        <v>89</v>
      </c>
      <c r="B29" s="41" t="s">
        <v>54</v>
      </c>
      <c r="C29" s="41" t="s">
        <v>109</v>
      </c>
      <c r="D29" s="15" t="s">
        <v>42</v>
      </c>
      <c r="E29" s="42">
        <v>39</v>
      </c>
      <c r="F29" s="42" t="s">
        <v>122</v>
      </c>
      <c r="G29" s="43">
        <f t="shared" si="0"/>
        <v>4.6706586826347304E-2</v>
      </c>
    </row>
    <row r="30" spans="1:7" ht="15.75" thickBot="1">
      <c r="A30" s="44" t="s">
        <v>89</v>
      </c>
      <c r="B30" s="45" t="s">
        <v>54</v>
      </c>
      <c r="C30" s="45" t="s">
        <v>109</v>
      </c>
      <c r="D30" s="46" t="s">
        <v>48</v>
      </c>
      <c r="E30" s="47">
        <v>20</v>
      </c>
      <c r="F30" s="47" t="s">
        <v>125</v>
      </c>
      <c r="G30" s="48">
        <f t="shared" si="0"/>
        <v>2.3952095808383235E-2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CA9D-900F-4004-A3F8-D555C4528D51}">
  <dimension ref="A1:E40"/>
  <sheetViews>
    <sheetView workbookViewId="0">
      <selection activeCell="F3" sqref="F3"/>
    </sheetView>
  </sheetViews>
  <sheetFormatPr defaultRowHeight="15"/>
  <cols>
    <col min="1" max="1" width="23.42578125" bestFit="1" customWidth="1"/>
    <col min="2" max="2" width="15.5703125" bestFit="1" customWidth="1"/>
    <col min="3" max="3" width="7.85546875" bestFit="1" customWidth="1"/>
    <col min="4" max="4" width="9.140625" bestFit="1" customWidth="1"/>
    <col min="5" max="5" width="10.42578125" bestFit="1" customWidth="1"/>
    <col min="6" max="6" width="24.42578125" bestFit="1" customWidth="1"/>
    <col min="7" max="7" width="23.42578125" bestFit="1" customWidth="1"/>
    <col min="8" max="8" width="28.85546875" bestFit="1" customWidth="1"/>
    <col min="9" max="9" width="28" bestFit="1" customWidth="1"/>
  </cols>
  <sheetData>
    <row r="1" spans="1:5">
      <c r="A1" s="6" t="s">
        <v>1</v>
      </c>
      <c r="B1" t="s">
        <v>131</v>
      </c>
    </row>
    <row r="3" spans="1:5">
      <c r="A3" s="6" t="s">
        <v>132</v>
      </c>
      <c r="B3" s="6" t="s">
        <v>133</v>
      </c>
    </row>
    <row r="4" spans="1:5">
      <c r="A4" s="6" t="s">
        <v>134</v>
      </c>
      <c r="B4" t="s">
        <v>71</v>
      </c>
      <c r="C4" t="s">
        <v>13</v>
      </c>
      <c r="D4" t="s">
        <v>89</v>
      </c>
      <c r="E4" t="s">
        <v>135</v>
      </c>
    </row>
    <row r="5" spans="1:5">
      <c r="A5" s="7" t="s">
        <v>30</v>
      </c>
      <c r="B5" s="8">
        <v>4.5300113250283124E-2</v>
      </c>
      <c r="C5" s="8">
        <v>4.630788485607009E-2</v>
      </c>
      <c r="D5" s="8">
        <v>9.7617541640312042E-2</v>
      </c>
      <c r="E5" s="8">
        <v>5.8948486457780142E-2</v>
      </c>
    </row>
    <row r="6" spans="1:5">
      <c r="A6" s="7" t="s">
        <v>36</v>
      </c>
      <c r="B6" s="8">
        <v>1.8875047187617969E-4</v>
      </c>
      <c r="C6" s="8">
        <v>9.7849584708157925E-3</v>
      </c>
      <c r="D6" s="8">
        <v>0.20472274931477968</v>
      </c>
      <c r="E6" s="8">
        <v>5.6186935740839085E-2</v>
      </c>
    </row>
    <row r="7" spans="1:5">
      <c r="A7" s="7" t="s">
        <v>24</v>
      </c>
      <c r="B7" s="8">
        <v>5.6625141562853911E-4</v>
      </c>
      <c r="C7" s="8">
        <v>0.11241324382751167</v>
      </c>
      <c r="D7" s="8">
        <v>0.12671305081172254</v>
      </c>
      <c r="E7" s="8">
        <v>8.4545937334041421E-2</v>
      </c>
    </row>
    <row r="8" spans="1:5">
      <c r="A8" s="7" t="s">
        <v>16</v>
      </c>
      <c r="B8" s="8">
        <v>0.95394488486221218</v>
      </c>
      <c r="C8" s="8">
        <v>0.82864944817385366</v>
      </c>
      <c r="D8" s="8">
        <v>0.51823740248787686</v>
      </c>
      <c r="E8" s="8">
        <v>0.7857142857142857</v>
      </c>
    </row>
    <row r="9" spans="1:5">
      <c r="A9" s="7" t="s">
        <v>48</v>
      </c>
      <c r="B9" s="8">
        <v>0</v>
      </c>
      <c r="C9" s="8">
        <v>5.6889293434975532E-4</v>
      </c>
      <c r="D9" s="8">
        <v>2.1716213367067257E-2</v>
      </c>
      <c r="E9" s="8">
        <v>5.7355284121083381E-3</v>
      </c>
    </row>
    <row r="10" spans="1:5">
      <c r="A10" s="7" t="s">
        <v>42</v>
      </c>
      <c r="B10" s="8">
        <v>0</v>
      </c>
      <c r="C10" s="8">
        <v>2.2755717373990213E-3</v>
      </c>
      <c r="D10" s="8">
        <v>3.099304237824162E-2</v>
      </c>
      <c r="E10" s="8">
        <v>8.8688263409452996E-3</v>
      </c>
    </row>
    <row r="11" spans="1:5">
      <c r="A11" s="7" t="s">
        <v>135</v>
      </c>
      <c r="B11" s="8">
        <v>1</v>
      </c>
      <c r="C11" s="8">
        <v>1</v>
      </c>
      <c r="D11" s="8">
        <v>1</v>
      </c>
      <c r="E11" s="8">
        <v>1</v>
      </c>
    </row>
    <row r="30" spans="1:2">
      <c r="A30" s="6" t="s">
        <v>1</v>
      </c>
      <c r="B30" t="s">
        <v>131</v>
      </c>
    </row>
    <row r="32" spans="1:2">
      <c r="A32" s="6" t="s">
        <v>132</v>
      </c>
      <c r="B32" s="6" t="s">
        <v>133</v>
      </c>
    </row>
    <row r="33" spans="1:5">
      <c r="A33" s="6" t="s">
        <v>134</v>
      </c>
      <c r="B33" t="s">
        <v>71</v>
      </c>
      <c r="C33" t="s">
        <v>13</v>
      </c>
      <c r="D33" t="s">
        <v>89</v>
      </c>
      <c r="E33" t="s">
        <v>135</v>
      </c>
    </row>
    <row r="34" spans="1:5">
      <c r="A34" s="7" t="s">
        <v>30</v>
      </c>
      <c r="B34" s="8">
        <v>0.21621621621621623</v>
      </c>
      <c r="C34" s="8">
        <v>0.36666666666666664</v>
      </c>
      <c r="D34" s="8">
        <v>0.41711711711711713</v>
      </c>
      <c r="E34" s="8">
        <v>1</v>
      </c>
    </row>
    <row r="35" spans="1:5">
      <c r="A35" s="7" t="s">
        <v>36</v>
      </c>
      <c r="B35" s="8">
        <v>9.4517958412098301E-4</v>
      </c>
      <c r="C35" s="8">
        <v>8.1285444234404536E-2</v>
      </c>
      <c r="D35" s="8">
        <v>0.91776937618147447</v>
      </c>
      <c r="E35" s="8">
        <v>1</v>
      </c>
    </row>
    <row r="36" spans="1:5">
      <c r="A36" s="7" t="s">
        <v>24</v>
      </c>
      <c r="B36" s="8">
        <v>1.8844221105527637E-3</v>
      </c>
      <c r="C36" s="8">
        <v>0.62060301507537685</v>
      </c>
      <c r="D36" s="8">
        <v>0.37751256281407036</v>
      </c>
      <c r="E36" s="8">
        <v>1</v>
      </c>
    </row>
    <row r="37" spans="1:5">
      <c r="A37" s="7" t="s">
        <v>16</v>
      </c>
      <c r="B37" s="8">
        <v>0.34160189253126055</v>
      </c>
      <c r="C37" s="8">
        <v>0.49226089895234876</v>
      </c>
      <c r="D37" s="8">
        <v>0.16613720851639066</v>
      </c>
      <c r="E37" s="8">
        <v>1</v>
      </c>
    </row>
    <row r="38" spans="1:5">
      <c r="A38" s="7" t="s">
        <v>48</v>
      </c>
      <c r="B38" s="8">
        <v>0</v>
      </c>
      <c r="C38" s="8">
        <v>4.6296296296296294E-2</v>
      </c>
      <c r="D38" s="8">
        <v>0.95370370370370372</v>
      </c>
      <c r="E38" s="8">
        <v>1</v>
      </c>
    </row>
    <row r="39" spans="1:5">
      <c r="A39" s="7" t="s">
        <v>42</v>
      </c>
      <c r="B39" s="8">
        <v>0</v>
      </c>
      <c r="C39" s="8">
        <v>0.11976047904191617</v>
      </c>
      <c r="D39" s="8">
        <v>0.88023952095808389</v>
      </c>
      <c r="E39" s="8">
        <v>1</v>
      </c>
    </row>
    <row r="40" spans="1:5">
      <c r="A40" s="7" t="s">
        <v>135</v>
      </c>
      <c r="B40" s="8">
        <v>0.28135953266064789</v>
      </c>
      <c r="C40" s="8">
        <v>0.46675517790759424</v>
      </c>
      <c r="D40" s="8">
        <v>0.25188528943175781</v>
      </c>
      <c r="E40" s="8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1FC7-FC76-4806-88F4-4B2B1CA27707}">
  <dimension ref="A2:H8"/>
  <sheetViews>
    <sheetView zoomScale="85" zoomScaleNormal="85" workbookViewId="0">
      <selection activeCell="K26" sqref="K26"/>
    </sheetView>
  </sheetViews>
  <sheetFormatPr defaultRowHeight="15"/>
  <sheetData>
    <row r="2" spans="1:8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  <c r="H2" s="1"/>
    </row>
    <row r="3" spans="1:8">
      <c r="A3" t="s">
        <v>16</v>
      </c>
      <c r="B3">
        <v>0.84489999999999998</v>
      </c>
      <c r="C3">
        <v>0.71150000000000002</v>
      </c>
      <c r="D3">
        <v>0.97370000000000001</v>
      </c>
      <c r="E3">
        <v>0.92949999999999999</v>
      </c>
      <c r="F3">
        <v>0.54530000000000001</v>
      </c>
      <c r="G3">
        <v>0.3916</v>
      </c>
    </row>
    <row r="4" spans="1:8">
      <c r="A4" t="s">
        <v>24</v>
      </c>
      <c r="B4">
        <v>0.1016</v>
      </c>
      <c r="C4">
        <v>0.1905</v>
      </c>
      <c r="D4">
        <v>0</v>
      </c>
      <c r="E4">
        <v>0</v>
      </c>
      <c r="F4">
        <v>0.10929999999999999</v>
      </c>
      <c r="G4">
        <v>0.2084</v>
      </c>
    </row>
    <row r="5" spans="1:8">
      <c r="A5" t="s">
        <v>30</v>
      </c>
      <c r="B5">
        <v>4.07E-2</v>
      </c>
      <c r="C5">
        <v>8.6800000000000002E-2</v>
      </c>
      <c r="D5">
        <v>2.63E-2</v>
      </c>
      <c r="E5">
        <v>6.88E-2</v>
      </c>
      <c r="F5">
        <v>8.5199999999999998E-2</v>
      </c>
      <c r="G5">
        <v>0.15570000000000001</v>
      </c>
    </row>
    <row r="6" spans="1:8">
      <c r="A6" s="74" t="s">
        <v>36</v>
      </c>
      <c r="B6">
        <v>9.7999999999999997E-3</v>
      </c>
      <c r="C6">
        <v>9.2999999999999992E-3</v>
      </c>
      <c r="D6">
        <v>0</v>
      </c>
      <c r="E6">
        <v>1.2999999999999999E-3</v>
      </c>
      <c r="F6">
        <v>0.2114</v>
      </c>
      <c r="G6">
        <v>0.17369999999999999</v>
      </c>
    </row>
    <row r="7" spans="1:8">
      <c r="A7" t="s">
        <v>42</v>
      </c>
      <c r="B7">
        <v>2.3E-3</v>
      </c>
      <c r="C7">
        <v>1.9E-3</v>
      </c>
      <c r="D7">
        <v>0</v>
      </c>
      <c r="E7">
        <v>0</v>
      </c>
      <c r="F7">
        <v>2.76E-2</v>
      </c>
      <c r="G7">
        <v>4.6699999999999998E-2</v>
      </c>
    </row>
    <row r="8" spans="1:8">
      <c r="A8" t="s">
        <v>48</v>
      </c>
      <c r="B8">
        <v>5.9999999999999995E-4</v>
      </c>
      <c r="C8">
        <v>0</v>
      </c>
      <c r="D8">
        <v>0</v>
      </c>
      <c r="E8">
        <v>0</v>
      </c>
      <c r="F8">
        <v>2.12E-2</v>
      </c>
      <c r="G8">
        <v>2.3900000000000001E-2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stats</vt:lpstr>
      <vt:lpstr>charts_1</vt:lpstr>
      <vt:lpstr>charts_2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Nives Hüll</dc:creator>
  <cp:keywords/>
  <dc:description/>
  <cp:lastModifiedBy>Nives Hüll</cp:lastModifiedBy>
  <cp:revision/>
  <dcterms:created xsi:type="dcterms:W3CDTF">2025-02-22T10:15:01Z</dcterms:created>
  <dcterms:modified xsi:type="dcterms:W3CDTF">2025-03-26T15:27:46Z</dcterms:modified>
  <cp:category/>
  <cp:contentStatus/>
</cp:coreProperties>
</file>