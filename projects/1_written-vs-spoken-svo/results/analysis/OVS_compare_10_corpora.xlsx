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nh23084_student_uni-lj_si/Documents/Študentsko delo/SPOT/WALS/"/>
    </mc:Choice>
  </mc:AlternateContent>
  <xr:revisionPtr revIDLastSave="825" documentId="8_{70099FDE-A728-4E2B-9436-107B8045CE1E}" xr6:coauthVersionLast="47" xr6:coauthVersionMax="47" xr10:uidLastSave="{3A5097BE-3F98-4494-BE2D-FE36391CB375}"/>
  <bookViews>
    <workbookView xWindow="26400" yWindow="2835" windowWidth="16770" windowHeight="16755" firstSheet="1" activeTab="4" xr2:uid="{0652637C-D9B0-4460-990D-1F2864921B21}"/>
  </bookViews>
  <sheets>
    <sheet name="all" sheetId="1" r:id="rId1"/>
    <sheet name="stats" sheetId="2" r:id="rId2"/>
    <sheet name="charts_1" sheetId="3" r:id="rId3"/>
    <sheet name="charts_2" sheetId="4" r:id="rId4"/>
    <sheet name="examples_nouns_oct25" sheetId="5" r:id="rId5"/>
  </sheet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3" i="2"/>
  <c r="G9" i="2"/>
  <c r="G4" i="2"/>
  <c r="G3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" i="2"/>
  <c r="G6" i="2"/>
  <c r="G7" i="2"/>
  <c r="G8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</calcChain>
</file>

<file path=xl/sharedStrings.xml><?xml version="1.0" encoding="utf-8"?>
<sst xmlns="http://schemas.openxmlformats.org/spreadsheetml/2006/main" count="1111" uniqueCount="294">
  <si>
    <t>Language</t>
  </si>
  <si>
    <t>Corpus Type</t>
  </si>
  <si>
    <t>Corpus</t>
  </si>
  <si>
    <t>Pattern</t>
  </si>
  <si>
    <t>Tree</t>
  </si>
  <si>
    <t>Absolute frequency</t>
  </si>
  <si>
    <t>Relative frequency</t>
  </si>
  <si>
    <t>Order</t>
  </si>
  <si>
    <t>Grew-match query</t>
  </si>
  <si>
    <t>Grew-match URL</t>
  </si>
  <si>
    <t>Number of nodes</t>
  </si>
  <si>
    <t>Head node</t>
  </si>
  <si>
    <t>Example</t>
  </si>
  <si>
    <t>French</t>
  </si>
  <si>
    <t>written</t>
  </si>
  <si>
    <t>GSD</t>
  </si>
  <si>
    <t>SVO</t>
  </si>
  <si>
    <t>_ &lt;nsubj _ &gt;obj _</t>
  </si>
  <si>
    <t>16286.6</t>
  </si>
  <si>
    <t>ABC</t>
  </si>
  <si>
    <t>pattern {B []; A []; C []; B -[nsubj]-&gt; A; B -[obj]-&gt; C; B &gt;&gt; A; B &lt;&lt; C}</t>
  </si>
  <si>
    <t>http://universal.grew.fr/?corpus=UD_French-GSD&amp;request=pattern%20%7BB%20%5B%5D%3B%20A%20%5B%5D%3B%20C%20%5B%5D%3B%20B%20-%5Bnsubj%5D-%3E%20A%3B%20B%20-%5Bobj%5D-%3E%20C%3B%20B%20%3E%3E%20A%3B%20B%20%3C%3C%20C%7D</t>
  </si>
  <si>
    <t>_</t>
  </si>
  <si>
    <t xml:space="preserve">Trois ans plus tard, A[il] B[tient] un C[discours] sur la crise. </t>
  </si>
  <si>
    <t>SOV</t>
  </si>
  <si>
    <t>_ &lt;nsubj _ &lt;obj _</t>
  </si>
  <si>
    <t>1958.1</t>
  </si>
  <si>
    <t>pattern {C []; A []; B []; C -[nsubj]-&gt; A; C -[obj]-&gt; B; C &gt;&gt; A; C &gt;&gt; B}</t>
  </si>
  <si>
    <t>http://universal.grew.fr/?corpus=UD_French-GSD&amp;request=pattern%20%7BC%20%5B%5D%3B%20A%20%5B%5D%3B%20B%20%5B%5D%3B%20C%20-%5Bnsubj%5D-%3E%20A%3B%20C%20-%5Bobj%5D-%3E%20B%3B%20C%20%3E%3E%20A%3B%20C%20%3E%3E%20B%7D</t>
  </si>
  <si>
    <t xml:space="preserve">A[Vous] B[m']C[accusez] de "subjectivisme". </t>
  </si>
  <si>
    <t>OSV</t>
  </si>
  <si>
    <t>_ &lt;obj _ &lt;nsubj _</t>
  </si>
  <si>
    <t>784.2</t>
  </si>
  <si>
    <t>pattern {C []; A []; B []; C -[obj]-&gt; A; C -[nsubj]-&gt; B; C &gt;&gt; A; C &gt;&gt; B}</t>
  </si>
  <si>
    <t>http://universal.grew.fr/?corpus=UD_French-GSD&amp;request=pattern%20%7BC%20%5B%5D%3B%20A%20%5B%5D%3B%20B%20%5B%5D%3B%20C%20-%5Bobj%5D-%3E%20A%3B%20C%20-%5Bnsubj%5D-%3E%20B%3B%20C%20%3E%3E%20A%3B%20C%20%3E%3E%20B%7D</t>
  </si>
  <si>
    <t xml:space="preserve">Madame Tellier est une excellente comptable A[que] B[je] C[recommande] vivement ! </t>
  </si>
  <si>
    <t>OVS</t>
  </si>
  <si>
    <t>_ &lt;obj _ &gt;nsubj _</t>
  </si>
  <si>
    <t>189.8</t>
  </si>
  <si>
    <t>pattern {B []; A []; C []; B -[obj]-&gt; A; B -[nsubj]-&gt; C; B &gt;&gt; A; B &lt;&lt; C}</t>
  </si>
  <si>
    <t>http://universal.grew.fr/?corpus=UD_French-GSD&amp;request=pattern%20%7BB%20%5B%5D%3B%20A%20%5B%5D%3B%20C%20%5B%5D%3B%20B%20-%5Bobj%5D-%3E%20A%3B%20B%20-%5Bnsubj%5D-%3E%20C%3B%20B%20%3E%3E%20A%3B%20B%20%3C%3C%20C%7D</t>
  </si>
  <si>
    <t xml:space="preserve">A[Que] B[dit] l'C[Eglise] sur ce point délicat ? </t>
  </si>
  <si>
    <t>VSO</t>
  </si>
  <si>
    <t>_ &gt;nsubj _ &gt;obj _</t>
  </si>
  <si>
    <t>45.0</t>
  </si>
  <si>
    <t>pattern {A []; B []; C []; A -[nsubj]-&gt; B; A -[obj]-&gt; C; A &lt;&lt; B; A &lt;&lt; C}</t>
  </si>
  <si>
    <t>http://universal.grew.fr/?corpus=UD_French-GSD&amp;request=pattern%20%7BA%20%5B%5D%3B%20B%20%5B%5D%3B%20C%20%5B%5D%3B%20A%20-%5Bnsubj%5D-%3E%20B%3B%20A%20-%5Bobj%5D-%3E%20C%3B%20A%20%3C%3C%20B%3B%20A%20%3C%3C%20C%7D</t>
  </si>
  <si>
    <t xml:space="preserve">Comment A[repoussez] B[vous] les C[bateaux] d'immigrés dans les eaux internationales ? </t>
  </si>
  <si>
    <t>VOS</t>
  </si>
  <si>
    <t>_ &gt;obj _ &gt;nsubj _</t>
  </si>
  <si>
    <t>12.5</t>
  </si>
  <si>
    <t>pattern {A []; B []; C []; A -[obj]-&gt; B; A -[nsubj]-&gt; C; A &lt;&lt; B; A &lt;&lt; C}</t>
  </si>
  <si>
    <t>http://universal.grew.fr/?corpus=UD_French-GSD&amp;request=pattern%20%7BA%20%5B%5D%3B%20B%20%5B%5D%3B%20C%20%5B%5D%3B%20A%20-%5Bobj%5D-%3E%20B%3B%20A%20-%5Bnsubj%5D-%3E%20C%3B%20A%20%3C%3C%20B%3B%20A%20%3C%3C%20C%7D</t>
  </si>
  <si>
    <t xml:space="preserve">Deux couples de pilastres toscans l'accostent, entre lesquels A[prennent] B[place] deux C[niches]. </t>
  </si>
  <si>
    <t>spoken</t>
  </si>
  <si>
    <t>Rhapsodie</t>
  </si>
  <si>
    <t>17223.5</t>
  </si>
  <si>
    <t>http://universal.grew.fr/?corpus=UD_French-Rhapsodie&amp;request=pattern%20%7BB%20%5B%5D%3B%20A%20%5B%5D%3B%20C%20%5B%5D%3B%20B%20-%5Bnsubj%5D-%3E%20A%3B%20B%20-%5Bobj%5D-%3E%20C%3B%20B%20%3E%3E%20A%3B%20B%20%3C%3C%20C%7D</t>
  </si>
  <si>
    <t xml:space="preserve">A[vous] n'B[avez] pas autour de vous cette C[impression] que… </t>
  </si>
  <si>
    <t>4611.0</t>
  </si>
  <si>
    <t>http://universal.grew.fr/?corpus=UD_French-Rhapsodie&amp;request=pattern%20%7BC%20%5B%5D%3B%20A%20%5B%5D%3B%20B%20%5B%5D%3B%20C%20-%5Bnsubj%5D-%3E%20A%3B%20C%20-%5Bobj%5D-%3E%20B%3B%20C%20%3E%3E%20A%3B%20C%20%3E%3E%20B%7D</t>
  </si>
  <si>
    <t xml:space="preserve">ben, c'est moi A[qui] B[les] ai C[payés]. </t>
  </si>
  <si>
    <t>2102.1</t>
  </si>
  <si>
    <t>http://universal.grew.fr/?corpus=UD_French-Rhapsodie&amp;request=pattern%20%7BC%20%5B%5D%3B%20A%20%5B%5D%3B%20B%20%5B%5D%3B%20C%20-%5Bobj%5D-%3E%20A%3B%20C%20-%5Bnsubj%5D-%3E%20B%3B%20C%20%3E%3E%20A%3B%20C%20%3E%3E%20B%7D</t>
  </si>
  <si>
    <t xml:space="preserve">c'est des choses A[dont] B[vous] C[parlez] dans, en classe, euh ? </t>
  </si>
  <si>
    <t>226.0</t>
  </si>
  <si>
    <t>http://universal.grew.fr/?corpus=UD_French-Rhapsodie&amp;request=pattern%20%7BB%20%5B%5D%3B%20A%20%5B%5D%3B%20C%20%5B%5D%3B%20B%20-%5Bobj%5D-%3E%20A%3B%20B%20-%5Bnsubj%5D-%3E%20C%3B%20B%20%3E%3E%20A%3B%20B%20%3C%3C%20C%7D</t>
  </si>
  <si>
    <t xml:space="preserve">chose A[que] ne B[fait] aucun C[organisme] d'Etat. </t>
  </si>
  <si>
    <t>45.2</t>
  </si>
  <si>
    <t>http://universal.grew.fr/?corpus=UD_French-Rhapsodie&amp;request=pattern%20%7BA%20%5B%5D%3B%20B%20%5B%5D%3B%20C%20%5B%5D%3B%20A%20-%5Bnsubj%5D-%3E%20B%3B%20A%20-%5Bobj%5D-%3E%20C%3B%20A%20%3C%3C%20B%3B%20A%20%3C%3C%20C%7D</t>
  </si>
  <si>
    <t xml:space="preserve">mais A[connaissez]B[-vous] les C[sites], euh, sociaux spécialisés ? </t>
  </si>
  <si>
    <t>English</t>
  </si>
  <si>
    <t>GUM</t>
  </si>
  <si>
    <t>27196.3</t>
  </si>
  <si>
    <t>http://universal.grew.fr/?corpus=UD_English-GUM&amp;request=pattern%20%7BB%20%5B%5D%3B%20A%20%5B%5D%3B%20C%20%5B%5D%3B%20B%20-%5Bnsubj%5D-%3E%20A%3B%20B%20-%5Bobj%5D-%3E%20C%3B%20B%20%3E%3E%20A%3B%20B%20%3C%3C%20C%7D</t>
  </si>
  <si>
    <t xml:space="preserve">Well A[I] finally B[found] some C[people] there I can dance with. </t>
  </si>
  <si>
    <t>2014.1</t>
  </si>
  <si>
    <t>http://universal.grew.fr/?corpus=UD_English-GUM&amp;request=pattern%20%7BC%20%5B%5D%3B%20A%20%5B%5D%3B%20B%20%5B%5D%3B%20C%20-%5Bobj%5D-%3E%20A%3B%20C%20-%5Bnsubj%5D-%3E%20B%3B%20C%20%3E%3E%20A%3B%20C%20%3E%3E%20B%7D</t>
  </si>
  <si>
    <t xml:space="preserve">Specifically, A[what] would B[you] have C[done] differently? </t>
  </si>
  <si>
    <t>37.1</t>
  </si>
  <si>
    <t>http://universal.grew.fr/?corpus=UD_English-GUM&amp;request=pattern%20%7BC%20%5B%5D%3B%20A%20%5B%5D%3B%20B%20%5B%5D%3B%20C%20-%5Bnsubj%5D-%3E%20A%3B%20C%20-%5Bobj%5D-%3E%20B%3B%20C%20%3E%3E%20A%3B%20C%20%3E%3E%20B%7D</t>
  </si>
  <si>
    <t xml:space="preserve">A[That] 's B[what] you C[implied]. </t>
  </si>
  <si>
    <t>12.4</t>
  </si>
  <si>
    <t>http://universal.grew.fr/?corpus=UD_English-GUM&amp;request=pattern%20%7BB%20%5B%5D%3B%20A%20%5B%5D%3B%20C%20%5B%5D%3B%20B%20-%5Bobj%5D-%3E%20A%3B%20B%20-%5Bnsubj%5D-%3E%20C%3B%20B%20%3E%3E%20A%3B%20B%20%3C%3C%20C%7D</t>
  </si>
  <si>
    <t xml:space="preserve">What did, uh, what ’s his name – A[what] B[did], uh, our, our, wh-, the C[one] that always is dressed up like Undertaker on Facebook? </t>
  </si>
  <si>
    <t>21780.3</t>
  </si>
  <si>
    <t xml:space="preserve">A[Sociologists] have B[explored] the adverse C[consequences] of discrimination [3 – 5]; </t>
  </si>
  <si>
    <t>587.8</t>
  </si>
  <si>
    <t xml:space="preserve">A[Williams], B[she] C[guessed]. </t>
  </si>
  <si>
    <t>Slovenian</t>
  </si>
  <si>
    <t>SSJ</t>
  </si>
  <si>
    <t>7978.4</t>
  </si>
  <si>
    <t>http://universal.grew.fr/?corpus=UD_Slovenian-SSJ&amp;request=pattern%20%7BB%20%5B%5D%3B%20A%20%5B%5D%3B%20C%20%5B%5D%3B%20B%20-%5Bnsubj%5D-%3E%20A%3B%20B%20-%5Bobj%5D-%3E%20C%3B%20B%20%3E%3E%20A%3B%20B%20%3C%3C%20C%7D</t>
  </si>
  <si>
    <t xml:space="preserve">Himenina A[ljubezen] bi tedaj B[potrjevala] institucionalno C[aporijo] prav v svojem revoltu proti njej. </t>
  </si>
  <si>
    <t>3092.5</t>
  </si>
  <si>
    <t>http://universal.grew.fr/?corpus=UD_Slovenian-SSJ&amp;request=pattern%20%7BB%20%5B%5D%3B%20A%20%5B%5D%3B%20C%20%5B%5D%3B%20B%20-%5Bobj%5D-%3E%20A%3B%20B%20-%5Bnsubj%5D-%3E%20C%3B%20B%20%3E%3E%20A%3B%20B%20%3C%3C%20C%7D</t>
  </si>
  <si>
    <t xml:space="preserve">A[Zadevo] dodatno B[zaplete] moje C[nesprejemanje] sebe kot lažnivca. </t>
  </si>
  <si>
    <t>1598.7</t>
  </si>
  <si>
    <t>http://universal.grew.fr/?corpus=UD_Slovenian-SSJ&amp;request=pattern%20%7BC%20%5B%5D%3B%20A%20%5B%5D%3B%20B%20%5B%5D%3B%20C%20-%5Bnsubj%5D-%3E%20A%3B%20C%20-%5Bobj%5D-%3E%20B%3B%20C%20%3E%3E%20A%3B%20C%20%3E%3E%20B%7D</t>
  </si>
  <si>
    <t xml:space="preserve">A[Hrana] B[me] ponavadi C[prebudi] bolje kot kava. </t>
  </si>
  <si>
    <t>1246.7</t>
  </si>
  <si>
    <t>http://universal.grew.fr/?corpus=UD_Slovenian-SSJ&amp;request=pattern%20%7BC%20%5B%5D%3B%20A%20%5B%5D%3B%20B%20%5B%5D%3B%20C%20-%5Bobj%5D-%3E%20A%3B%20C%20-%5Bnsubj%5D-%3E%20B%3B%20C%20%3E%3E%20A%3B%20C%20%3E%3E%20B%7D</t>
  </si>
  <si>
    <t xml:space="preserve">A[Mistika], ki zlorabi svoje moči, B[kabala] C[primerja] s pijancem. </t>
  </si>
  <si>
    <t>404.3</t>
  </si>
  <si>
    <t>http://universal.grew.fr/?corpus=UD_Slovenian-SSJ&amp;request=pattern%20%7BA%20%5B%5D%3B%20B%20%5B%5D%3B%20C%20%5B%5D%3B%20A%20-%5Bnsubj%5D-%3E%20B%3B%20A%20-%5Bobj%5D-%3E%20C%3B%20A%20%3C%3C%20B%3B%20A%20%3C%3C%20C%7D</t>
  </si>
  <si>
    <t xml:space="preserve">Tako A[imajo] najsodobnejši B[zasloni] IPS odzivni C[čas] 25 ms. </t>
  </si>
  <si>
    <t>310.7</t>
  </si>
  <si>
    <t>http://universal.grew.fr/?corpus=UD_Slovenian-SSJ&amp;request=pattern%20%7BA%20%5B%5D%3B%20B%20%5B%5D%3B%20C%20%5B%5D%3B%20A%20-%5Bobj%5D-%3E%20B%3B%20A%20-%5Bnsubj%5D-%3E%20C%3B%20A%20%3C%3C%20B%3B%20A%20%3C%3C%20C%7D</t>
  </si>
  <si>
    <t xml:space="preserve">Če naročnino podarite, A[dobi] B[knjižico] vaš C[obdarovanec] in vi. </t>
  </si>
  <si>
    <t>SST</t>
  </si>
  <si>
    <t>3323.4</t>
  </si>
  <si>
    <t>http://universal.grew.fr/?corpus=UD_Slovenian-SST&amp;request=pattern%20%7BB%20%5B%5D%3B%20A%20%5B%5D%3B%20C%20%5B%5D%3B%20B%20-%5Bnsubj%5D-%3E%20A%3B%20B%20-%5Bobj%5D-%3E%20C%3B%20B%20%3E%3E%20A%3B%20B%20%3C%3C%20C%7D</t>
  </si>
  <si>
    <t xml:space="preserve">A[jaz] bom B[dal] pa še majčkeno C[timijana] . </t>
  </si>
  <si>
    <t>1768.4</t>
  </si>
  <si>
    <t>http://universal.grew.fr/?corpus=UD_Slovenian-SST&amp;request=pattern%20%7BC%20%5B%5D%3B%20A%20%5B%5D%3B%20B%20%5B%5D%3B%20C%20-%5Bnsubj%5D-%3E%20A%3B%20C%20-%5Bobj%5D-%3E%20B%3B%20C%20%3E%3E%20A%3B%20C%20%3E%3E%20B%7D</t>
  </si>
  <si>
    <t xml:space="preserve">A[jaz] B[pojma] C[nimam] , kako ti izbral . </t>
  </si>
  <si>
    <t>1473.7</t>
  </si>
  <si>
    <t>http://universal.grew.fr/?corpus=UD_Slovenian-SST&amp;request=pattern%20%7BB%20%5B%5D%3B%20A%20%5B%5D%3B%20C%20%5B%5D%3B%20B%20-%5Bobj%5D-%3E%20A%3B%20B%20-%5Bnsubj%5D-%3E%20C%3B%20B%20%3E%3E%20A%3B%20B%20%3C%3C%20C%7D</t>
  </si>
  <si>
    <t xml:space="preserve">v principu zelo A[mi] je B[bila] všeč C[nadaljevanka] Igra prestolov . </t>
  </si>
  <si>
    <t>1321.2</t>
  </si>
  <si>
    <t>http://universal.grew.fr/?corpus=UD_Slovenian-SST&amp;request=pattern%20%7BC%20%5B%5D%3B%20A%20%5B%5D%3B%20B%20%5B%5D%3B%20C%20-%5Bobj%5D-%3E%20A%3B%20C%20-%5Bnsubj%5D-%3E%20B%3B%20C%20%3E%3E%20A%3B%20C%20%3E%3E%20B%7D</t>
  </si>
  <si>
    <t xml:space="preserve">in to je tisto , A[kar] B[otrok] tudi C[rabi] , a ne . </t>
  </si>
  <si>
    <t>396.4</t>
  </si>
  <si>
    <t>http://universal.grew.fr/?corpus=UD_Slovenian-SST&amp;request=pattern%20%7BA%20%5B%5D%3B%20B%20%5B%5D%3B%20C%20%5B%5D%3B%20A%20-%5Bnsubj%5D-%3E%20B%3B%20A%20-%5Bobj%5D-%3E%20C%3B%20A%20%3C%3C%20B%3B%20A%20%3C%3C%20C%7D</t>
  </si>
  <si>
    <t xml:space="preserve">pa A[imam] B[jaz] tudi svoje C[obveznosti] . </t>
  </si>
  <si>
    <t>203.3</t>
  </si>
  <si>
    <t>http://universal.grew.fr/?corpus=UD_Slovenian-SST&amp;request=pattern%20%7BA%20%5B%5D%3B%20B%20%5B%5D%3B%20C%20%5B%5D%3B%20A%20-%5Bobj%5D-%3E%20B%3B%20A%20-%5Bnsubj%5D-%3E%20C%3B%20A%20%3C%3C%20B%3B%20A%20%3C%3C%20C%7D</t>
  </si>
  <si>
    <t xml:space="preserve">daj , naj požri , A[boli] B[te] C[kurac] . </t>
  </si>
  <si>
    <t>Proportion in Corpus</t>
  </si>
  <si>
    <t>GUM-W</t>
  </si>
  <si>
    <t>GUM-S</t>
  </si>
  <si>
    <t>(All)</t>
  </si>
  <si>
    <t>Sum of Absolute frequency</t>
  </si>
  <si>
    <t>Column Labels</t>
  </si>
  <si>
    <t>Row Labels</t>
  </si>
  <si>
    <t>Grand Total</t>
  </si>
  <si>
    <t>Word Order</t>
  </si>
  <si>
    <t>French Written</t>
  </si>
  <si>
    <t>French Spoken</t>
  </si>
  <si>
    <t>English Written</t>
  </si>
  <si>
    <t>English Spoken</t>
  </si>
  <si>
    <t>Slovenian Written</t>
  </si>
  <si>
    <t>Slovenian Spoken</t>
  </si>
  <si>
    <t>Spanish</t>
  </si>
  <si>
    <t>7805.8</t>
  </si>
  <si>
    <t>http://universal.grew.fr/?corpus=UD_Spanish-GSD&amp;request=pattern%20%7BB%20%5B%5D%3B%20A%20%5B%5D%3B%20C%20%5B%5D%3B%20B%20-%5Bnsubj%5D-%3E%20A%3B%20B%20-%5Bobj%5D-%3E%20C%3B%20B%20%3E%3E%20A%3B%20B%20%3C%3C%20C%7D</t>
  </si>
  <si>
    <t xml:space="preserve">Su A[actuación] B[recibió] buenas C[reseñas], a el igual que el filme. </t>
  </si>
  <si>
    <t>567.7</t>
  </si>
  <si>
    <t>http://universal.grew.fr/?corpus=UD_Spanish-GSD&amp;request=pattern%20%7BC%20%5B%5D%3B%20A%20%5B%5D%3B%20B%20%5B%5D%3B%20C%20-%5Bnsubj%5D-%3E%20A%3B%20C%20-%5Bobj%5D-%3E%20B%3B%20C%20%3E%3E%20A%3B%20C%20%3E%3E%20B%7D</t>
  </si>
  <si>
    <t xml:space="preserve">A[Quien] B[lo] ha C[parido] sí ve las diferencias. </t>
  </si>
  <si>
    <t>509.7</t>
  </si>
  <si>
    <t>http://universal.grew.fr/?corpus=UD_Spanish-GSD&amp;request=pattern%20%7BB%20%5B%5D%3B%20A%20%5B%5D%3B%20C%20%5B%5D%3B%20B%20-%5Bobj%5D-%3E%20A%3B%20B%20-%5Bnsubj%5D-%3E%20C%3B%20B%20%3E%3E%20A%3B%20B%20%3C%3C%20C%7D</t>
  </si>
  <si>
    <t xml:space="preserve">Supuestamente es la única obra A[que] B[vendió] el C[artista] estando vivo. </t>
  </si>
  <si>
    <t>190.0</t>
  </si>
  <si>
    <t>http://universal.grew.fr/?corpus=UD_Spanish-GSD&amp;request=pattern%20%7BC%20%5B%5D%3B%20A%20%5B%5D%3B%20B%20%5B%5D%3B%20C%20-%5Bobj%5D-%3E%20A%3B%20C%20-%5Bnsubj%5D-%3E%20B%3B%20C%20%3E%3E%20A%3B%20C%20%3E%3E%20B%7D</t>
  </si>
  <si>
    <t xml:space="preserve">La estabilidad financiera es algo A[que] B[Macedonia] C[reconoce]. </t>
  </si>
  <si>
    <t>125.1</t>
  </si>
  <si>
    <t>http://universal.grew.fr/?corpus=UD_Spanish-GSD&amp;request=pattern%20%7BA%20%5B%5D%3B%20B%20%5B%5D%3B%20C%20%5B%5D%3B%20A%20-%5Bobj%5D-%3E%20B%3B%20A%20-%5Bnsubj%5D-%3E%20C%3B%20A%20%3C%3C%20B%3B%20A%20%3C%3C%20C%7D</t>
  </si>
  <si>
    <t xml:space="preserve">Le A[haría] B[falta] una C[televisión] en la magnifica terraza. </t>
  </si>
  <si>
    <t>34.8</t>
  </si>
  <si>
    <t>http://universal.grew.fr/?corpus=UD_Spanish-GSD&amp;request=pattern%20%7BA%20%5B%5D%3B%20B%20%5B%5D%3B%20C%20%5B%5D%3B%20A%20-%5Bnsubj%5D-%3E%20B%3B%20A%20-%5Bobj%5D-%3E%20C%3B%20A%20%3C%3C%20B%3B%20A%20%3C%3C%20C%7D</t>
  </si>
  <si>
    <t xml:space="preserve">¿A[Venderá] el B[submarino] a su C[perla]? </t>
  </si>
  <si>
    <t>COSER</t>
  </si>
  <si>
    <t>6936.7</t>
  </si>
  <si>
    <t>http://universal.grew.fr/?corpus=UD_Spanish-COSER&amp;request=pattern%20%7BB%20%5B%5D%3B%20A%20%5B%5D%3B%20C%20%5B%5D%3B%20B%20-%5Bnsubj%5D-%3E%20A%3B%20B%20-%5Bobj%5D-%3E%20C%3B%20B%20%3E%3E%20A%3B%20B%20%3C%3C%20C%7D</t>
  </si>
  <si>
    <t xml:space="preserve">Mi A[gente] B[matan] C[tos]. </t>
  </si>
  <si>
    <t>3096.7</t>
  </si>
  <si>
    <t>http://universal.grew.fr/?corpus=UD_Spanish-COSER&amp;request=pattern%20%7BC%20%5B%5D%3B%20A%20%5B%5D%3B%20B%20%5B%5D%3B%20C%20-%5Bnsubj%5D-%3E%20A%3B%20C%20-%5Bobj%5D-%3E%20B%3B%20C%20%3E%3E%20A%3B%20C%20%3E%3E%20B%7D</t>
  </si>
  <si>
    <t xml:space="preserve">¿Y el A[tren] B[lo] C[utilizaban] por ejemplo para...? </t>
  </si>
  <si>
    <t>2972.9</t>
  </si>
  <si>
    <t>http://universal.grew.fr/?corpus=UD_Spanish-COSER&amp;request=pattern%20%7BB%20%5B%5D%3B%20A%20%5B%5D%3B%20C%20%5B%5D%3B%20B%20-%5Bobj%5D-%3E%20A%3B%20B%20-%5Bnsubj%5D-%3E%20C%3B%20B%20%3E%3E%20A%3B%20B%20%3C%3C%20C%7D</t>
  </si>
  <si>
    <t xml:space="preserve">Para que vea cómo A[se] B[hacía] las C[cosas]. </t>
  </si>
  <si>
    <t>743.2</t>
  </si>
  <si>
    <t>http://universal.grew.fr/?corpus=UD_Spanish-COSER&amp;request=pattern%20%7BA%20%5B%5D%3B%20B%20%5B%5D%3B%20C%20%5B%5D%3B%20A%20-%5Bnsubj%5D-%3E%20B%3B%20A%20-%5Bobj%5D-%3E%20C%3B%20A%20%3C%3C%20B%3B%20A%20%3C%3C%20C%7D</t>
  </si>
  <si>
    <t xml:space="preserve">¿Y se A[acuerda] B[usted] de cómo era C[eso]? </t>
  </si>
  <si>
    <t>619.3</t>
  </si>
  <si>
    <t>http://universal.grew.fr/?corpus=UD_Spanish-COSER&amp;request=pattern%20%7BC%20%5B%5D%3B%20A%20%5B%5D%3B%20B%20%5B%5D%3B%20C%20-%5Bobj%5D-%3E%20A%3B%20C%20-%5Bnsubj%5D-%3E%20B%3B%20C%20%3E%3E%20A%3B%20C%20%3E%3E%20B%7D</t>
  </si>
  <si>
    <t xml:space="preserve">Si esta generación, por ejemplo, es... ¿A[Tú], cuantos B[hermanos] C[tienes]? </t>
  </si>
  <si>
    <t>http://universal.grew.fr/?corpus=UD_Spanish-COSER&amp;request=pattern%20%7BA%20%5B%5D%3B%20B%20%5B%5D%3B%20C%20%5B%5D%3B%20A%20-%5Bobj%5D-%3E%20B%3B%20A%20-%5Bnsubj%5D-%3E%20C%3B%20A%20%3C%3C%20B%3B%20A%20%3C%3C%20C%7D</t>
  </si>
  <si>
    <t xml:space="preserve">Entonces no, entonces to el chocolate vas, le pagaba la madrina, A[digo] la B[madrina], el, el C[novio] y eso. </t>
  </si>
  <si>
    <t>Norwegian (nynorsk)</t>
  </si>
  <si>
    <t>Norwegian (bokmål)</t>
  </si>
  <si>
    <t>Bokmaal</t>
  </si>
  <si>
    <t>22970.7</t>
  </si>
  <si>
    <t>http://universal.grew.fr/?corpus=UD_Norwegian-Bokmaal&amp;request=pattern%20%7BB%20%5B%5D%3B%20A%20%5B%5D%3B%20C%20%5B%5D%3B%20B%20-%5Bnsubj%5D-%3E%20A%3B%20B%20-%5Bobj%5D-%3E%20C%3B%20B%20%3E%3E%20A%3B%20B%20%3C%3C%20C%7D</t>
  </si>
  <si>
    <t xml:space="preserve">A[Jeg] B[ser] et C[landskap] som er såret og i tilbaketrekning. </t>
  </si>
  <si>
    <t>3043.0</t>
  </si>
  <si>
    <t>http://universal.grew.fr/?corpus=UD_Norwegian-Bokmaal&amp;request=pattern%20%7BA%20%5B%5D%3B%20B%20%5B%5D%3B%20C%20%5B%5D%3B%20A%20-%5Bnsubj%5D-%3E%20B%3B%20A%20-%5Bobj%5D-%3E%20C%3B%20A%20%3C%3C%20B%3B%20A%20%3C%3C%20C%7D</t>
  </si>
  <si>
    <t xml:space="preserve">Hos mange A[etterlater] B[det] C[fremmedgjørelse]. </t>
  </si>
  <si>
    <t>793.0</t>
  </si>
  <si>
    <t>http://universal.grew.fr/?corpus=UD_Norwegian-Bokmaal&amp;request=pattern%20%7BC%20%5B%5D%3B%20A%20%5B%5D%3B%20B%20%5B%5D%3B%20C%20-%5Bobj%5D-%3E%20A%3B%20C%20-%5Bnsubj%5D-%3E%20B%3B%20C%20%3E%3E%20A%3B%20C%20%3E%3E%20B%7D</t>
  </si>
  <si>
    <t xml:space="preserve">A[Hva] skulle B[hun] C[gjøre]? </t>
  </si>
  <si>
    <t>535.1</t>
  </si>
  <si>
    <t>http://universal.grew.fr/?corpus=UD_Norwegian-Bokmaal&amp;request=pattern%20%7BB%20%5B%5D%3B%20A%20%5B%5D%3B%20C%20%5B%5D%3B%20B%20-%5Bobj%5D-%3E%20A%3B%20B%20-%5Bnsubj%5D-%3E%20C%3B%20B%20%3E%3E%20A%3B%20B%20%3C%3C%20C%7D</t>
  </si>
  <si>
    <t xml:space="preserve">Eller A[hva] B[tror] C[du]? </t>
  </si>
  <si>
    <t>http://universal.grew.fr/?corpus=UD_Norwegian-Bokmaal&amp;request=pattern%20%7BA%20%5B%5D%3B%20B%20%5B%5D%3B%20C%20%5B%5D%3B%20A%20-%5Bobj%5D-%3E%20B%3B%20A%20-%5Bnsubj%5D-%3E%20C%3B%20A%20%3C%3C%20B%3B%20A%20%3C%3C%20C%7D</t>
  </si>
  <si>
    <t xml:space="preserve">Det A[befinner] B[seg] til enhver tid mellom 50 og 100 C[personer] i Svea. </t>
  </si>
  <si>
    <t>http://universal.grew.fr/?corpus=UD_Norwegian-Bokmaal&amp;request=pattern%20%7BC%20%5B%5D%3B%20A%20%5B%5D%3B%20B%20%5B%5D%3B%20C%20-%5Bnsubj%5D-%3E%20A%3B%20C%20-%5Bobj%5D-%3E%20B%3B%20C%20%3E%3E%20A%3B%20C%20%3E%3E%20B%7D</t>
  </si>
  <si>
    <t xml:space="preserve">A[Dette] er B[hva] pasienten C[trenger]. </t>
  </si>
  <si>
    <t>Nynorsk</t>
  </si>
  <si>
    <t>20952.2</t>
  </si>
  <si>
    <t>http://universal.grew.fr/?corpus=UD_Norwegian-Nynorsk&amp;request=pattern%20%7BB%20%5B%5D%3B%20A%20%5B%5D%3B%20C%20%5B%5D%3B%20B%20-%5Bnsubj%5D-%3E%20A%3B%20B%20-%5Bobj%5D-%3E%20C%3B%20B%20%3E%3E%20A%3B%20B%20%3C%3C%20C%7D</t>
  </si>
  <si>
    <t xml:space="preserve">Det var veldig triveleg, og A[vi] B[fekk] også god C[kake] etterpå. </t>
  </si>
  <si>
    <t>3182.3</t>
  </si>
  <si>
    <t>http://universal.grew.fr/?corpus=UD_Norwegian-Nynorsk&amp;request=pattern%20%7BA%20%5B%5D%3B%20B%20%5B%5D%3B%20C%20%5B%5D%3B%20A%20-%5Bnsubj%5D-%3E%20B%3B%20A%20-%5Bobj%5D-%3E%20C%3B%20A%20%3C%3C%20B%3B%20A%20%3C%3C%20C%7D</t>
  </si>
  <si>
    <t xml:space="preserve">A[Har] B[Paulus] " C[lov] " til å seie noko slikt, liksom? </t>
  </si>
  <si>
    <t>686.9</t>
  </si>
  <si>
    <t>http://universal.grew.fr/?corpus=UD_Norwegian-Nynorsk&amp;request=pattern%20%7BC%20%5B%5D%3B%20A%20%5B%5D%3B%20B%20%5B%5D%3B%20C%20-%5Bobj%5D-%3E%20A%3B%20C%20-%5Bnsubj%5D-%3E%20B%3B%20C%20%3E%3E%20A%3B%20C%20%3E%3E%20B%7D</t>
  </si>
  <si>
    <t xml:space="preserve">Slik generell A[lære] og formaning har B[dei] allereie C[fått] i katekesen. </t>
  </si>
  <si>
    <t>557.5</t>
  </si>
  <si>
    <t>http://universal.grew.fr/?corpus=UD_Norwegian-Nynorsk&amp;request=pattern%20%7BB%20%5B%5D%3B%20A%20%5B%5D%3B%20C%20%5B%5D%3B%20B%20-%5Bobj%5D-%3E%20A%3B%20B%20-%5Bnsubj%5D-%3E%20C%3B%20B%20%3E%3E%20A%3B%20B%20%3C%3C%20C%7D</t>
  </si>
  <si>
    <t xml:space="preserve">Kva A[grunnar] B[har] C[han] for det han seier? </t>
  </si>
  <si>
    <t>56.4</t>
  </si>
  <si>
    <t>http://universal.grew.fr/?corpus=UD_Norwegian-Nynorsk&amp;request=pattern%20%7BA%20%5B%5D%3B%20B%20%5B%5D%3B%20C%20%5B%5D%3B%20A%20-%5Bobj%5D-%3E%20B%3B%20A%20-%5Bnsubj%5D-%3E%20C%3B%20A%20%3C%3C%20B%3B%20A%20%3C%3C%20C%7D</t>
  </si>
  <si>
    <t xml:space="preserve">Skum av etter kvart som det A[dannar] B[seg] C[skum]. </t>
  </si>
  <si>
    <t>http://universal.grew.fr/?corpus=UD_Norwegian-Nynorsk&amp;request=pattern%20%7BC%20%5B%5D%3B%20A%20%5B%5D%3B%20B%20%5B%5D%3B%20C%20-%5Bnsubj%5D-%3E%20A%3B%20C%20-%5Bobj%5D-%3E%20B%3B%20C%20%3E%3E%20A%3B%20C%20%3E%3E%20B%7D</t>
  </si>
  <si>
    <t xml:space="preserve">Vi må berre vente, A[vi] kan ingenting B[anna] C[gjere]. </t>
  </si>
  <si>
    <t>NynorskLIA</t>
  </si>
  <si>
    <t>16080.1</t>
  </si>
  <si>
    <t xml:space="preserve">A[du] B[budde] jo C[her] på denne grensesona du . </t>
  </si>
  <si>
    <t>4692.3</t>
  </si>
  <si>
    <t xml:space="preserve">ja A[hugsar] B[du] nokre C[sånne] ? </t>
  </si>
  <si>
    <t>3338.7</t>
  </si>
  <si>
    <t xml:space="preserve">A[det] måtte B[vi] C[lesse] utor sjølv ja . </t>
  </si>
  <si>
    <t>2634.9</t>
  </si>
  <si>
    <t xml:space="preserve">A[det] B[veit] C[eg] ikkje . </t>
  </si>
  <si>
    <t>252.7</t>
  </si>
  <si>
    <t xml:space="preserve">men A[kva] B[som] C[gjorde] kom du opp i noko e under krigen ? </t>
  </si>
  <si>
    <t>36.1</t>
  </si>
  <si>
    <t xml:space="preserve">å ja da # nei A[gjekk] ikkje ein B[månad] heller C[det] . </t>
  </si>
  <si>
    <t>25.8</t>
  </si>
  <si>
    <t>22.6</t>
  </si>
  <si>
    <t>13.3</t>
  </si>
  <si>
    <t>GSD-FR</t>
  </si>
  <si>
    <t>GSD-ES</t>
  </si>
  <si>
    <t>Spanish Written</t>
  </si>
  <si>
    <t>Spanish Spoken</t>
  </si>
  <si>
    <t>Norwegian Written (bokmaal)</t>
  </si>
  <si>
    <t>Norwegian Written (nynorsk)</t>
  </si>
  <si>
    <t>Norwegian Spoken (nynorsk)</t>
  </si>
  <si>
    <t>NEW - NOUN + PROPN</t>
  </si>
  <si>
    <t>NEW - NOUN</t>
  </si>
  <si>
    <t>OLD - ORIGINAL (ALL)</t>
  </si>
  <si>
    <t>Note: edited sep 25, with feedback after SyntaxFest - add NOUN + PROPN</t>
  </si>
  <si>
    <t xml:space="preserve">I 'm thinking, God these A[guys] do n't B[waste] any C[time]. </t>
  </si>
  <si>
    <t xml:space="preserve">Above all, we are facing the alarming possibility of armed conflict in the Gulf, the A[consequences] of which the B[world] can not C[afford]. </t>
  </si>
  <si>
    <t xml:space="preserve">It 's not completely clear how much A[stress] this B[hypnosis] C[causes]. </t>
  </si>
  <si>
    <t>ES-COSER</t>
  </si>
  <si>
    <t>ES-GSD</t>
  </si>
  <si>
    <t xml:space="preserve">Mi A[padre] B[tuvo] unas cuantas C[cabritas]. </t>
  </si>
  <si>
    <t xml:space="preserve">En el campo sí A[tenía] mucha B[gente] C[albarcas], pero aquí en el pueblo, aquí lo que más se gastaba era... zapatos y... botas. </t>
  </si>
  <si>
    <t xml:space="preserve">¿Que A[excusa] B[tiene] el C[kirchnerismo] para lamer las botas de Timerman? </t>
  </si>
  <si>
    <t xml:space="preserve">En el Censo de 2010 A[tenía] una B[población] de 5.523 C[habitantes] y una densidad poblacional de 2.639,16 personas por km². </t>
  </si>
  <si>
    <t>FR-GSD</t>
  </si>
  <si>
    <t xml:space="preserve">Les A[Nations] Unies B[mènent] une C[campagne] mondiale « Scellons l'accord ! </t>
  </si>
  <si>
    <t>FR-RHAPSODIE</t>
  </si>
  <si>
    <t xml:space="preserve">les A[avocats] de le berger corse ont B[quitté] le C[procès] hier soir. </t>
  </si>
  <si>
    <t>NO-NYNORSK</t>
  </si>
  <si>
    <t xml:space="preserve">A[Folk] rundt meg B[hadde] masse C[filmar] og spel og musikk. </t>
  </si>
  <si>
    <t xml:space="preserve">I så måte A[har] jo kristen B[moral] sjølvstendig C[verdi] "uansett." </t>
  </si>
  <si>
    <t xml:space="preserve">Denne A[konflikten] mellom samvit og sosial orden kan ingen B[teori] C[løysa]. </t>
  </si>
  <si>
    <t xml:space="preserve">Men mest A[applaus] B[får] sjølvsagt C[ensemblet] når dei kjem fram på scena samstundes. </t>
  </si>
  <si>
    <t xml:space="preserve">A[Gleda] og optimismen ville ingen B[ende] C[ta], medan noverande stortingsrepresentant for SV, Sigbjørn Molvik, ved same bord, ikkje jubla sjølv om han på dette tidspunktet såg ut til å ha fått plass for ein ny fireårsperiode. </t>
  </si>
  <si>
    <t>NO-NYNORSKLIA</t>
  </si>
  <si>
    <t xml:space="preserve">dei brukte hestar ja # A[vognmennene] B[brukte] C[hestar] . </t>
  </si>
  <si>
    <t xml:space="preserve">A[køyrde] B[bøndene] C[mjølka] dit med hest ? </t>
  </si>
  <si>
    <t xml:space="preserve">men em # e kor stor A[last] må ein slik B[båt] C[rekne] med å få for at turen skal bli e ja kall det lønnsam ? </t>
  </si>
  <si>
    <t xml:space="preserve">ja dei siste A[åra] da har B[storsildfisket] C[slått] til i e tett utfor her . </t>
  </si>
  <si>
    <t xml:space="preserve">e kor # lang A[tid] B[tek] ein slik e C[tur] utpå Egga ? </t>
  </si>
  <si>
    <t>SL-SSJ</t>
  </si>
  <si>
    <t xml:space="preserve">A[Drobnoživke] vse B[odpadke] C[predelajo] v zelo hranljivo gnojilo. </t>
  </si>
  <si>
    <t>SL-SST</t>
  </si>
  <si>
    <t xml:space="preserve">A[moški] B[imajo] tudi tako imenovano na- , C[naramnice] , hozentregarje . </t>
  </si>
  <si>
    <t xml:space="preserve">saj ta strokovna A[javnost] to B[kodifikacijo] potem C[uresničuje] v praksi . </t>
  </si>
  <si>
    <t xml:space="preserve">Koper , srednjo tehnično A[šolo] B[čaka] C[mediacija] . </t>
  </si>
  <si>
    <t xml:space="preserve">doma A[imajo] B[otroci] različne C[priložnosti] , različne možnosti , različne pogoje . </t>
  </si>
  <si>
    <t xml:space="preserve">to je čisto naša ideja , se pravi , eee , s- , kompletno A[zamisel] je slovenska B[pamet] C[ustvarila] . </t>
  </si>
  <si>
    <t xml:space="preserve">oni o- , od one A[je] B[mami] tako C[ime] , od te pa prijateljica tako ime , ki je dala številko , ima , ne , in sem jaz čisto pobrkljala , ker je bil čisto isti glas kot od one , a veš . </t>
  </si>
  <si>
    <t>EN-GUM-S</t>
  </si>
  <si>
    <t>EN-GUM-W</t>
  </si>
  <si>
    <t>S</t>
  </si>
  <si>
    <t>W</t>
  </si>
  <si>
    <t>modality</t>
  </si>
  <si>
    <t>example</t>
  </si>
  <si>
    <t>lang-corpus</t>
  </si>
  <si>
    <t>pattern</t>
  </si>
  <si>
    <t>English-s-OSV</t>
  </si>
  <si>
    <t>French-w-VOS</t>
  </si>
  <si>
    <t>Spanish-s-VSO</t>
  </si>
  <si>
    <t>Spanish-s-VOS</t>
  </si>
  <si>
    <t>Norwegian-s-VSO</t>
  </si>
  <si>
    <t>Norwegian-s-SOV</t>
  </si>
  <si>
    <t>Norwegian-s-OSV</t>
  </si>
  <si>
    <t>Norwegian-s-OVS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</si>
</sst>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3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7" borderId="1" xfId="0" applyFill="1" applyBorder="1"/>
    <xf numFmtId="0" fontId="0" fillId="7" borderId="2" xfId="0" applyFill="1" applyBorder="1"/>
    <xf numFmtId="2" fontId="0" fillId="7" borderId="2" xfId="0" applyNumberFormat="1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5" xfId="0" applyFill="1" applyBorder="1"/>
    <xf numFmtId="0" fontId="0" fillId="5" borderId="4" xfId="0" applyFill="1" applyBorder="1"/>
    <xf numFmtId="0" fontId="0" fillId="5" borderId="5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2" fontId="0" fillId="4" borderId="7" xfId="0" applyNumberFormat="1" applyFill="1" applyBorder="1"/>
    <xf numFmtId="0" fontId="0" fillId="4" borderId="8" xfId="0" applyFill="1" applyBorder="1"/>
    <xf numFmtId="0" fontId="0" fillId="5" borderId="1" xfId="0" applyFill="1" applyBorder="1"/>
    <xf numFmtId="0" fontId="0" fillId="5" borderId="2" xfId="0" applyFill="1" applyBorder="1"/>
    <xf numFmtId="2" fontId="0" fillId="5" borderId="2" xfId="0" applyNumberFormat="1" applyFill="1" applyBorder="1"/>
    <xf numFmtId="0" fontId="0" fillId="5" borderId="3" xfId="0" applyFill="1" applyBorder="1"/>
    <xf numFmtId="0" fontId="0" fillId="6" borderId="1" xfId="0" applyFill="1" applyBorder="1"/>
    <xf numFmtId="0" fontId="0" fillId="6" borderId="2" xfId="0" applyFill="1" applyBorder="1"/>
    <xf numFmtId="2" fontId="0" fillId="6" borderId="2" xfId="0" applyNumberFormat="1" applyFill="1" applyBorder="1"/>
    <xf numFmtId="0" fontId="0" fillId="6" borderId="3" xfId="0" applyFill="1" applyBorder="1"/>
    <xf numFmtId="0" fontId="0" fillId="3" borderId="6" xfId="0" applyFill="1" applyBorder="1"/>
    <xf numFmtId="0" fontId="0" fillId="3" borderId="7" xfId="0" applyFill="1" applyBorder="1"/>
    <xf numFmtId="2" fontId="0" fillId="3" borderId="7" xfId="0" applyNumberFormat="1" applyFill="1" applyBorder="1"/>
    <xf numFmtId="0" fontId="0" fillId="3" borderId="8" xfId="0" applyFill="1" applyBorder="1"/>
    <xf numFmtId="0" fontId="3" fillId="0" borderId="0" xfId="0" applyFont="1"/>
    <xf numFmtId="2" fontId="0" fillId="0" borderId="0" xfId="0" applyNumberFormat="1"/>
    <xf numFmtId="0" fontId="0" fillId="14" borderId="1" xfId="0" applyFill="1" applyBorder="1"/>
    <xf numFmtId="0" fontId="0" fillId="14" borderId="2" xfId="0" applyFill="1" applyBorder="1"/>
    <xf numFmtId="0" fontId="0" fillId="14" borderId="4" xfId="0" applyFill="1" applyBorder="1"/>
    <xf numFmtId="0" fontId="0" fillId="14" borderId="0" xfId="0" applyFill="1"/>
    <xf numFmtId="2" fontId="0" fillId="14" borderId="2" xfId="0" applyNumberFormat="1" applyFill="1" applyBorder="1"/>
    <xf numFmtId="0" fontId="0" fillId="14" borderId="3" xfId="0" applyFill="1" applyBorder="1"/>
    <xf numFmtId="2" fontId="0" fillId="14" borderId="0" xfId="0" applyNumberFormat="1" applyFill="1"/>
    <xf numFmtId="0" fontId="0" fillId="14" borderId="5" xfId="0" applyFill="1" applyBorder="1"/>
    <xf numFmtId="0" fontId="0" fillId="15" borderId="4" xfId="0" applyFill="1" applyBorder="1"/>
    <xf numFmtId="0" fontId="0" fillId="15" borderId="0" xfId="0" applyFill="1"/>
    <xf numFmtId="2" fontId="0" fillId="15" borderId="0" xfId="0" applyNumberFormat="1" applyFill="1"/>
    <xf numFmtId="0" fontId="0" fillId="15" borderId="5" xfId="0" applyFill="1" applyBorder="1"/>
    <xf numFmtId="0" fontId="0" fillId="8" borderId="0" xfId="0" applyFill="1"/>
    <xf numFmtId="0" fontId="0" fillId="16" borderId="4" xfId="0" applyFill="1" applyBorder="1"/>
    <xf numFmtId="0" fontId="0" fillId="16" borderId="0" xfId="0" applyFill="1"/>
    <xf numFmtId="2" fontId="0" fillId="16" borderId="0" xfId="0" applyNumberFormat="1" applyFill="1"/>
    <xf numFmtId="0" fontId="0" fillId="16" borderId="5" xfId="0" applyFill="1" applyBorder="1"/>
    <xf numFmtId="0" fontId="0" fillId="17" borderId="4" xfId="0" applyFill="1" applyBorder="1"/>
    <xf numFmtId="0" fontId="0" fillId="17" borderId="0" xfId="0" applyFill="1"/>
    <xf numFmtId="0" fontId="0" fillId="17" borderId="6" xfId="0" applyFill="1" applyBorder="1"/>
    <xf numFmtId="0" fontId="0" fillId="17" borderId="7" xfId="0" applyFill="1" applyBorder="1"/>
    <xf numFmtId="2" fontId="0" fillId="17" borderId="0" xfId="0" applyNumberFormat="1" applyFill="1"/>
    <xf numFmtId="0" fontId="0" fillId="17" borderId="5" xfId="0" applyFill="1" applyBorder="1"/>
    <xf numFmtId="2" fontId="0" fillId="17" borderId="7" xfId="0" applyNumberFormat="1" applyFill="1" applyBorder="1"/>
    <xf numFmtId="0" fontId="0" fillId="17" borderId="8" xfId="0" applyFill="1" applyBorder="1"/>
    <xf numFmtId="0" fontId="0" fillId="15" borderId="6" xfId="0" applyFill="1" applyBorder="1"/>
    <xf numFmtId="0" fontId="0" fillId="15" borderId="7" xfId="0" applyFill="1" applyBorder="1"/>
    <xf numFmtId="2" fontId="0" fillId="15" borderId="7" xfId="0" applyNumberFormat="1" applyFill="1" applyBorder="1"/>
    <xf numFmtId="0" fontId="0" fillId="15" borderId="8" xfId="0" applyFill="1" applyBorder="1"/>
    <xf numFmtId="2" fontId="0" fillId="7" borderId="0" xfId="0" applyNumberFormat="1" applyFill="1"/>
    <xf numFmtId="2" fontId="0" fillId="2" borderId="0" xfId="0" applyNumberFormat="1" applyFill="1"/>
    <xf numFmtId="2" fontId="0" fillId="3" borderId="0" xfId="0" applyNumberFormat="1" applyFill="1"/>
    <xf numFmtId="2" fontId="0" fillId="5" borderId="0" xfId="0" applyNumberFormat="1" applyFill="1"/>
    <xf numFmtId="2" fontId="0" fillId="4" borderId="0" xfId="0" applyNumberFormat="1" applyFill="1"/>
    <xf numFmtId="0" fontId="0" fillId="7" borderId="10" xfId="0" applyFill="1" applyBorder="1"/>
    <xf numFmtId="0" fontId="0" fillId="7" borderId="9" xfId="0" applyFill="1" applyBorder="1"/>
    <xf numFmtId="2" fontId="0" fillId="7" borderId="9" xfId="0" applyNumberFormat="1" applyFill="1" applyBorder="1"/>
    <xf numFmtId="0" fontId="0" fillId="7" borderId="11" xfId="0" applyFill="1" applyBorder="1"/>
    <xf numFmtId="0" fontId="0" fillId="6" borderId="10" xfId="0" applyFill="1" applyBorder="1"/>
    <xf numFmtId="0" fontId="0" fillId="6" borderId="9" xfId="0" applyFill="1" applyBorder="1"/>
    <xf numFmtId="2" fontId="0" fillId="6" borderId="9" xfId="0" applyNumberFormat="1" applyFill="1" applyBorder="1"/>
    <xf numFmtId="0" fontId="0" fillId="6" borderId="11" xfId="0" applyFill="1" applyBorder="1"/>
    <xf numFmtId="0" fontId="0" fillId="5" borderId="10" xfId="0" applyFill="1" applyBorder="1"/>
    <xf numFmtId="0" fontId="0" fillId="5" borderId="9" xfId="0" applyFill="1" applyBorder="1"/>
    <xf numFmtId="2" fontId="0" fillId="5" borderId="9" xfId="0" applyNumberFormat="1" applyFill="1" applyBorder="1"/>
    <xf numFmtId="0" fontId="0" fillId="5" borderId="11" xfId="0" applyFill="1" applyBorder="1"/>
    <xf numFmtId="0" fontId="0" fillId="14" borderId="10" xfId="0" applyFill="1" applyBorder="1"/>
    <xf numFmtId="0" fontId="0" fillId="14" borderId="9" xfId="0" applyFill="1" applyBorder="1"/>
    <xf numFmtId="2" fontId="0" fillId="14" borderId="9" xfId="0" applyNumberFormat="1" applyFill="1" applyBorder="1"/>
    <xf numFmtId="0" fontId="0" fillId="14" borderId="11" xfId="0" applyFill="1" applyBorder="1"/>
    <xf numFmtId="0" fontId="0" fillId="16" borderId="10" xfId="0" applyFill="1" applyBorder="1"/>
    <xf numFmtId="0" fontId="0" fillId="16" borderId="9" xfId="0" applyFill="1" applyBorder="1"/>
    <xf numFmtId="2" fontId="0" fillId="16" borderId="9" xfId="0" applyNumberFormat="1" applyFill="1" applyBorder="1"/>
    <xf numFmtId="0" fontId="0" fillId="16" borderId="11" xfId="0" applyFill="1" applyBorder="1"/>
    <xf numFmtId="0" fontId="2" fillId="0" borderId="0" xfId="0" applyFont="1"/>
    <xf numFmtId="0" fontId="5" fillId="0" borderId="0" xfId="1"/>
    <xf numFmtId="0" fontId="4" fillId="0" borderId="0" xfId="0" applyFont="1"/>
    <xf numFmtId="49" fontId="4" fillId="0" borderId="0" xfId="0" applyNumberFormat="1" applyFont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0" fillId="8" borderId="3" xfId="0" applyFill="1" applyBorder="1"/>
    <xf numFmtId="0" fontId="0" fillId="7" borderId="0" xfId="0" applyFill="1"/>
    <xf numFmtId="0" fontId="0" fillId="9" borderId="5" xfId="0" applyFill="1" applyBorder="1"/>
    <xf numFmtId="0" fontId="0" fillId="10" borderId="5" xfId="0" applyFill="1" applyBorder="1"/>
    <xf numFmtId="0" fontId="0" fillId="11" borderId="5" xfId="0" applyFill="1" applyBorder="1"/>
    <xf numFmtId="0" fontId="0" fillId="12" borderId="5" xfId="0" applyFill="1" applyBorder="1"/>
    <xf numFmtId="0" fontId="0" fillId="13" borderId="11" xfId="0" applyFill="1" applyBorder="1"/>
    <xf numFmtId="0" fontId="0" fillId="2" borderId="0" xfId="0" applyFill="1"/>
    <xf numFmtId="0" fontId="0" fillId="8" borderId="5" xfId="0" applyFill="1" applyBorder="1"/>
    <xf numFmtId="0" fontId="0" fillId="10" borderId="11" xfId="0" applyFill="1" applyBorder="1"/>
    <xf numFmtId="0" fontId="0" fillId="3" borderId="0" xfId="0" applyFill="1"/>
    <xf numFmtId="0" fontId="0" fillId="11" borderId="8" xfId="0" applyFill="1" applyBorder="1"/>
    <xf numFmtId="0" fontId="0" fillId="5" borderId="0" xfId="0" applyFill="1"/>
    <xf numFmtId="0" fontId="0" fillId="4" borderId="0" xfId="0" applyFill="1"/>
    <xf numFmtId="0" fontId="0" fillId="13" borderId="8" xfId="0" applyFill="1" applyBorder="1"/>
    <xf numFmtId="0" fontId="0" fillId="13" borderId="5" xfId="0" applyFill="1" applyBorder="1"/>
    <xf numFmtId="0" fontId="0" fillId="12" borderId="11" xfId="0" applyFill="1" applyBorder="1"/>
    <xf numFmtId="0" fontId="0" fillId="9" borderId="11" xfId="0" applyFill="1" applyBorder="1"/>
    <xf numFmtId="0" fontId="1" fillId="0" borderId="6" xfId="0" applyFont="1" applyBorder="1"/>
    <xf numFmtId="2" fontId="1" fillId="0" borderId="7" xfId="0" applyNumberFormat="1" applyFont="1" applyBorder="1"/>
    <xf numFmtId="0" fontId="1" fillId="0" borderId="8" xfId="0" applyFont="1" applyBorder="1"/>
    <xf numFmtId="2" fontId="0" fillId="4" borderId="12" xfId="0" applyNumberFormat="1" applyFill="1" applyBorder="1"/>
    <xf numFmtId="0" fontId="0" fillId="15" borderId="12" xfId="0" applyFill="1" applyBorder="1"/>
    <xf numFmtId="2" fontId="0" fillId="15" borderId="12" xfId="0" applyNumberFormat="1" applyFill="1" applyBorder="1"/>
    <xf numFmtId="0" fontId="0" fillId="16" borderId="12" xfId="0" applyFill="1" applyBorder="1"/>
    <xf numFmtId="2" fontId="0" fillId="16" borderId="12" xfId="0" applyNumberFormat="1" applyFill="1" applyBorder="1"/>
    <xf numFmtId="0" fontId="0" fillId="17" borderId="12" xfId="0" applyFill="1" applyBorder="1"/>
    <xf numFmtId="2" fontId="0" fillId="17" borderId="12" xfId="0" applyNumberFormat="1" applyFill="1" applyBorder="1"/>
    <xf numFmtId="2" fontId="0" fillId="6" borderId="0" xfId="0" applyNumberFormat="1" applyFill="1"/>
    <xf numFmtId="0" fontId="1" fillId="0" borderId="7" xfId="0" applyFont="1" applyBorder="1"/>
    <xf numFmtId="2" fontId="0" fillId="7" borderId="4" xfId="0" applyNumberFormat="1" applyFill="1" applyBorder="1"/>
    <xf numFmtId="2" fontId="0" fillId="6" borderId="4" xfId="0" applyNumberFormat="1" applyFill="1" applyBorder="1"/>
    <xf numFmtId="2" fontId="0" fillId="6" borderId="10" xfId="0" applyNumberFormat="1" applyFill="1" applyBorder="1"/>
    <xf numFmtId="2" fontId="0" fillId="3" borderId="4" xfId="0" applyNumberFormat="1" applyFill="1" applyBorder="1"/>
    <xf numFmtId="2" fontId="0" fillId="5" borderId="4" xfId="0" applyNumberFormat="1" applyFill="1" applyBorder="1"/>
    <xf numFmtId="2" fontId="0" fillId="4" borderId="13" xfId="0" applyNumberFormat="1" applyFill="1" applyBorder="1"/>
    <xf numFmtId="2" fontId="0" fillId="4" borderId="4" xfId="0" applyNumberFormat="1" applyFill="1" applyBorder="1"/>
    <xf numFmtId="2" fontId="0" fillId="4" borderId="6" xfId="0" applyNumberFormat="1" applyFill="1" applyBorder="1"/>
    <xf numFmtId="0" fontId="0" fillId="15" borderId="13" xfId="0" applyFill="1" applyBorder="1"/>
    <xf numFmtId="0" fontId="0" fillId="16" borderId="13" xfId="0" applyFill="1" applyBorder="1"/>
    <xf numFmtId="0" fontId="0" fillId="17" borderId="13" xfId="0" applyFill="1" applyBorder="1"/>
    <xf numFmtId="0" fontId="0" fillId="6" borderId="0" xfId="0" applyFill="1"/>
    <xf numFmtId="0" fontId="0" fillId="6" borderId="5" xfId="0" applyFill="1" applyBorder="1"/>
    <xf numFmtId="2" fontId="0" fillId="22" borderId="0" xfId="0" applyNumberFormat="1" applyFill="1"/>
    <xf numFmtId="0" fontId="0" fillId="22" borderId="12" xfId="0" applyFill="1" applyBorder="1"/>
    <xf numFmtId="2" fontId="0" fillId="22" borderId="13" xfId="0" applyNumberFormat="1" applyFill="1" applyBorder="1"/>
    <xf numFmtId="2" fontId="0" fillId="22" borderId="12" xfId="0" applyNumberFormat="1" applyFill="1" applyBorder="1"/>
    <xf numFmtId="0" fontId="0" fillId="22" borderId="14" xfId="0" applyFill="1" applyBorder="1"/>
    <xf numFmtId="0" fontId="0" fillId="4" borderId="12" xfId="0" applyFill="1" applyBorder="1"/>
    <xf numFmtId="0" fontId="0" fillId="4" borderId="14" xfId="0" applyFill="1" applyBorder="1"/>
    <xf numFmtId="0" fontId="0" fillId="15" borderId="14" xfId="0" applyFill="1" applyBorder="1"/>
    <xf numFmtId="0" fontId="0" fillId="16" borderId="14" xfId="0" applyFill="1" applyBorder="1"/>
    <xf numFmtId="0" fontId="0" fillId="17" borderId="14" xfId="0" applyFill="1" applyBorder="1"/>
    <xf numFmtId="2" fontId="4" fillId="7" borderId="0" xfId="0" applyNumberFormat="1" applyFont="1" applyFill="1"/>
    <xf numFmtId="0" fontId="4" fillId="7" borderId="0" xfId="0" applyFont="1" applyFill="1"/>
    <xf numFmtId="2" fontId="4" fillId="7" borderId="4" xfId="0" applyNumberFormat="1" applyFont="1" applyFill="1" applyBorder="1"/>
    <xf numFmtId="0" fontId="4" fillId="7" borderId="5" xfId="0" applyFont="1" applyFill="1" applyBorder="1"/>
    <xf numFmtId="2" fontId="4" fillId="22" borderId="0" xfId="0" applyNumberFormat="1" applyFont="1" applyFill="1"/>
    <xf numFmtId="0" fontId="4" fillId="22" borderId="0" xfId="0" applyFont="1" applyFill="1"/>
    <xf numFmtId="0" fontId="4" fillId="22" borderId="7" xfId="0" applyFont="1" applyFill="1" applyBorder="1"/>
    <xf numFmtId="2" fontId="4" fillId="22" borderId="4" xfId="0" applyNumberFormat="1" applyFont="1" applyFill="1" applyBorder="1"/>
    <xf numFmtId="0" fontId="4" fillId="22" borderId="5" xfId="0" applyFont="1" applyFill="1" applyBorder="1"/>
    <xf numFmtId="2" fontId="4" fillId="22" borderId="6" xfId="0" applyNumberFormat="1" applyFont="1" applyFill="1" applyBorder="1"/>
    <xf numFmtId="2" fontId="4" fillId="22" borderId="7" xfId="0" applyNumberFormat="1" applyFont="1" applyFill="1" applyBorder="1"/>
    <xf numFmtId="0" fontId="4" fillId="22" borderId="8" xfId="0" applyFont="1" applyFill="1" applyBorder="1"/>
    <xf numFmtId="2" fontId="4" fillId="3" borderId="0" xfId="0" applyNumberFormat="1" applyFont="1" applyFill="1"/>
    <xf numFmtId="0" fontId="4" fillId="3" borderId="0" xfId="0" applyFont="1" applyFill="1"/>
    <xf numFmtId="2" fontId="4" fillId="3" borderId="4" xfId="0" applyNumberFormat="1" applyFont="1" applyFill="1" applyBorder="1"/>
    <xf numFmtId="0" fontId="4" fillId="3" borderId="5" xfId="0" applyFont="1" applyFill="1" applyBorder="1"/>
    <xf numFmtId="2" fontId="4" fillId="3" borderId="7" xfId="0" applyNumberFormat="1" applyFont="1" applyFill="1" applyBorder="1"/>
    <xf numFmtId="0" fontId="4" fillId="3" borderId="7" xfId="0" applyFont="1" applyFill="1" applyBorder="1"/>
    <xf numFmtId="2" fontId="4" fillId="3" borderId="6" xfId="0" applyNumberFormat="1" applyFont="1" applyFill="1" applyBorder="1"/>
    <xf numFmtId="0" fontId="4" fillId="3" borderId="8" xfId="0" applyFont="1" applyFill="1" applyBorder="1"/>
    <xf numFmtId="0" fontId="4" fillId="14" borderId="0" xfId="0" applyFont="1" applyFill="1"/>
    <xf numFmtId="2" fontId="4" fillId="14" borderId="0" xfId="0" applyNumberFormat="1" applyFont="1" applyFill="1"/>
    <xf numFmtId="0" fontId="4" fillId="14" borderId="4" xfId="0" applyFont="1" applyFill="1" applyBorder="1"/>
    <xf numFmtId="0" fontId="4" fillId="14" borderId="5" xfId="0" applyFont="1" applyFill="1" applyBorder="1"/>
    <xf numFmtId="0" fontId="4" fillId="17" borderId="7" xfId="0" applyFont="1" applyFill="1" applyBorder="1"/>
    <xf numFmtId="2" fontId="4" fillId="17" borderId="7" xfId="0" applyNumberFormat="1" applyFont="1" applyFill="1" applyBorder="1"/>
    <xf numFmtId="0" fontId="4" fillId="17" borderId="6" xfId="0" applyFont="1" applyFill="1" applyBorder="1"/>
    <xf numFmtId="0" fontId="4" fillId="17" borderId="8" xfId="0" applyFont="1" applyFill="1" applyBorder="1"/>
    <xf numFmtId="0" fontId="4" fillId="16" borderId="0" xfId="0" applyFont="1" applyFill="1"/>
    <xf numFmtId="2" fontId="4" fillId="16" borderId="0" xfId="0" applyNumberFormat="1" applyFont="1" applyFill="1"/>
    <xf numFmtId="0" fontId="4" fillId="16" borderId="4" xfId="0" applyFont="1" applyFill="1" applyBorder="1"/>
    <xf numFmtId="0" fontId="4" fillId="16" borderId="5" xfId="0" applyFont="1" applyFill="1" applyBorder="1"/>
    <xf numFmtId="0" fontId="4" fillId="15" borderId="0" xfId="0" applyFont="1" applyFill="1"/>
    <xf numFmtId="2" fontId="4" fillId="15" borderId="0" xfId="0" applyNumberFormat="1" applyFont="1" applyFill="1"/>
    <xf numFmtId="0" fontId="4" fillId="15" borderId="4" xfId="0" applyFont="1" applyFill="1" applyBorder="1"/>
    <xf numFmtId="0" fontId="4" fillId="15" borderId="5" xfId="0" applyFont="1" applyFill="1" applyBorder="1"/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21" borderId="3" xfId="0" applyFill="1" applyBorder="1" applyAlignment="1">
      <alignment horizontal="center"/>
    </xf>
    <xf numFmtId="0" fontId="0" fillId="0" borderId="0" xfId="0" applyBorder="1"/>
    <xf numFmtId="0" fontId="0" fillId="0" borderId="9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8" borderId="10" xfId="0" applyFill="1" applyBorder="1"/>
    <xf numFmtId="0" fontId="0" fillId="8" borderId="9" xfId="0" applyFill="1" applyBorder="1"/>
    <xf numFmtId="0" fontId="0" fillId="8" borderId="11" xfId="0" applyFill="1" applyBorder="1"/>
    <xf numFmtId="0" fontId="0" fillId="8" borderId="4" xfId="0" applyFill="1" applyBorder="1"/>
    <xf numFmtId="0" fontId="0" fillId="8" borderId="0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23" borderId="15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  <color rgb="FFFF7C8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[OVS_compare_eight_corpora.xlsx]charts_1!PivotTable1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charts_1!$B$3:$B$4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charts_1!$A$5:$A$11</c:f>
              <c:strCache>
                <c:ptCount val="6"/>
                <c:pt idx="0">
                  <c:v>OSV</c:v>
                </c:pt>
                <c:pt idx="1">
                  <c:v>OVS</c:v>
                </c:pt>
                <c:pt idx="2">
                  <c:v>SOV</c:v>
                </c:pt>
                <c:pt idx="3">
                  <c:v>SVO</c:v>
                </c:pt>
                <c:pt idx="4">
                  <c:v>VOS</c:v>
                </c:pt>
                <c:pt idx="5">
                  <c:v>VSO</c:v>
                </c:pt>
              </c:strCache>
            </c:strRef>
          </c:cat>
          <c:val>
            <c:numRef>
              <c:f>charts_1!$B$5:$B$11</c:f>
              <c:numCache>
                <c:formatCode>0.00%</c:formatCode>
                <c:ptCount val="6"/>
                <c:pt idx="0">
                  <c:v>4.5300113250283124E-2</c:v>
                </c:pt>
                <c:pt idx="1">
                  <c:v>1.8875047187617969E-4</c:v>
                </c:pt>
                <c:pt idx="2">
                  <c:v>5.6625141562853911E-4</c:v>
                </c:pt>
                <c:pt idx="3">
                  <c:v>0.95394488486221218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7-4FA8-953E-669A07AE3E21}"/>
            </c:ext>
          </c:extLst>
        </c:ser>
        <c:ser>
          <c:idx val="1"/>
          <c:order val="1"/>
          <c:tx>
            <c:strRef>
              <c:f>charts_1!$C$3:$C$4</c:f>
              <c:strCache>
                <c:ptCount val="1"/>
                <c:pt idx="0">
                  <c:v>French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charts_1!$A$5:$A$11</c:f>
              <c:strCache>
                <c:ptCount val="6"/>
                <c:pt idx="0">
                  <c:v>OSV</c:v>
                </c:pt>
                <c:pt idx="1">
                  <c:v>OVS</c:v>
                </c:pt>
                <c:pt idx="2">
                  <c:v>SOV</c:v>
                </c:pt>
                <c:pt idx="3">
                  <c:v>SVO</c:v>
                </c:pt>
                <c:pt idx="4">
                  <c:v>VOS</c:v>
                </c:pt>
                <c:pt idx="5">
                  <c:v>VSO</c:v>
                </c:pt>
              </c:strCache>
            </c:strRef>
          </c:cat>
          <c:val>
            <c:numRef>
              <c:f>charts_1!$C$5:$C$11</c:f>
              <c:numCache>
                <c:formatCode>0.00%</c:formatCode>
                <c:ptCount val="6"/>
                <c:pt idx="0">
                  <c:v>4.630788485607009E-2</c:v>
                </c:pt>
                <c:pt idx="1">
                  <c:v>9.7849584708157925E-3</c:v>
                </c:pt>
                <c:pt idx="2">
                  <c:v>0.11241324382751167</c:v>
                </c:pt>
                <c:pt idx="3">
                  <c:v>0.82864944817385366</c:v>
                </c:pt>
                <c:pt idx="4">
                  <c:v>5.6889293434975532E-4</c:v>
                </c:pt>
                <c:pt idx="5">
                  <c:v>2.2755717373990213E-3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7-4FA8-953E-669A07AE3E21}"/>
            </c:ext>
          </c:extLst>
        </c:ser>
        <c:ser>
          <c:idx val="2"/>
          <c:order val="2"/>
          <c:tx>
            <c:strRef>
              <c:f>charts_1!$D$3:$D$4</c:f>
              <c:strCache>
                <c:ptCount val="1"/>
                <c:pt idx="0">
                  <c:v>Slovenian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charts_1!$A$5:$A$11</c:f>
              <c:strCache>
                <c:ptCount val="6"/>
                <c:pt idx="0">
                  <c:v>OSV</c:v>
                </c:pt>
                <c:pt idx="1">
                  <c:v>OVS</c:v>
                </c:pt>
                <c:pt idx="2">
                  <c:v>SOV</c:v>
                </c:pt>
                <c:pt idx="3">
                  <c:v>SVO</c:v>
                </c:pt>
                <c:pt idx="4">
                  <c:v>VOS</c:v>
                </c:pt>
                <c:pt idx="5">
                  <c:v>VSO</c:v>
                </c:pt>
              </c:strCache>
            </c:strRef>
          </c:cat>
          <c:val>
            <c:numRef>
              <c:f>charts_1!$D$5:$D$11</c:f>
              <c:numCache>
                <c:formatCode>0.00%</c:formatCode>
                <c:ptCount val="6"/>
                <c:pt idx="0">
                  <c:v>9.7617541640312042E-2</c:v>
                </c:pt>
                <c:pt idx="1">
                  <c:v>0.20472274931477968</c:v>
                </c:pt>
                <c:pt idx="2">
                  <c:v>0.12671305081172254</c:v>
                </c:pt>
                <c:pt idx="3">
                  <c:v>0.51823740248787686</c:v>
                </c:pt>
                <c:pt idx="4">
                  <c:v>2.1716213367067257E-2</c:v>
                </c:pt>
                <c:pt idx="5">
                  <c:v>3.099304237824162E-2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47-4FA8-953E-669A07AE3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725407"/>
        <c:axId val="605725887"/>
      </c:barChart>
      <c:catAx>
        <c:axId val="60572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05725887"/>
        <c:crosses val="autoZero"/>
        <c:auto val="1"/>
        <c:lblAlgn val="ctr"/>
        <c:lblOffset val="100"/>
        <c:noMultiLvlLbl val="0"/>
      </c:catAx>
      <c:valAx>
        <c:axId val="60572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0572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[OVS_compare_eight_corpora.xlsx]charts_1!PivotTable18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charts_1!$B$32:$B$33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charts_1!$A$34:$A$40</c:f>
              <c:strCache>
                <c:ptCount val="6"/>
                <c:pt idx="0">
                  <c:v>OSV</c:v>
                </c:pt>
                <c:pt idx="1">
                  <c:v>OVS</c:v>
                </c:pt>
                <c:pt idx="2">
                  <c:v>SOV</c:v>
                </c:pt>
                <c:pt idx="3">
                  <c:v>SVO</c:v>
                </c:pt>
                <c:pt idx="4">
                  <c:v>VOS</c:v>
                </c:pt>
                <c:pt idx="5">
                  <c:v>VSO</c:v>
                </c:pt>
              </c:strCache>
            </c:strRef>
          </c:cat>
          <c:val>
            <c:numRef>
              <c:f>charts_1!$B$34:$B$40</c:f>
              <c:numCache>
                <c:formatCode>0.00%</c:formatCode>
                <c:ptCount val="6"/>
                <c:pt idx="0">
                  <c:v>0.21621621621621623</c:v>
                </c:pt>
                <c:pt idx="1">
                  <c:v>9.4517958412098301E-4</c:v>
                </c:pt>
                <c:pt idx="2">
                  <c:v>1.8844221105527637E-3</c:v>
                </c:pt>
                <c:pt idx="3">
                  <c:v>0.34160189253126055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A-409B-9D28-A2655A6FE557}"/>
            </c:ext>
          </c:extLst>
        </c:ser>
        <c:ser>
          <c:idx val="1"/>
          <c:order val="1"/>
          <c:tx>
            <c:strRef>
              <c:f>charts_1!$C$32:$C$33</c:f>
              <c:strCache>
                <c:ptCount val="1"/>
                <c:pt idx="0">
                  <c:v>French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charts_1!$A$34:$A$40</c:f>
              <c:strCache>
                <c:ptCount val="6"/>
                <c:pt idx="0">
                  <c:v>OSV</c:v>
                </c:pt>
                <c:pt idx="1">
                  <c:v>OVS</c:v>
                </c:pt>
                <c:pt idx="2">
                  <c:v>SOV</c:v>
                </c:pt>
                <c:pt idx="3">
                  <c:v>SVO</c:v>
                </c:pt>
                <c:pt idx="4">
                  <c:v>VOS</c:v>
                </c:pt>
                <c:pt idx="5">
                  <c:v>VSO</c:v>
                </c:pt>
              </c:strCache>
            </c:strRef>
          </c:cat>
          <c:val>
            <c:numRef>
              <c:f>charts_1!$C$34:$C$40</c:f>
              <c:numCache>
                <c:formatCode>0.00%</c:formatCode>
                <c:ptCount val="6"/>
                <c:pt idx="0">
                  <c:v>0.36666666666666664</c:v>
                </c:pt>
                <c:pt idx="1">
                  <c:v>8.1285444234404536E-2</c:v>
                </c:pt>
                <c:pt idx="2">
                  <c:v>0.62060301507537685</c:v>
                </c:pt>
                <c:pt idx="3">
                  <c:v>0.49226089895234876</c:v>
                </c:pt>
                <c:pt idx="4">
                  <c:v>4.6296296296296294E-2</c:v>
                </c:pt>
                <c:pt idx="5">
                  <c:v>0.11976047904191617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4A-409B-9D28-A2655A6FE557}"/>
            </c:ext>
          </c:extLst>
        </c:ser>
        <c:ser>
          <c:idx val="2"/>
          <c:order val="2"/>
          <c:tx>
            <c:strRef>
              <c:f>charts_1!$D$32:$D$33</c:f>
              <c:strCache>
                <c:ptCount val="1"/>
                <c:pt idx="0">
                  <c:v>Slovenian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charts_1!$A$34:$A$40</c:f>
              <c:strCache>
                <c:ptCount val="6"/>
                <c:pt idx="0">
                  <c:v>OSV</c:v>
                </c:pt>
                <c:pt idx="1">
                  <c:v>OVS</c:v>
                </c:pt>
                <c:pt idx="2">
                  <c:v>SOV</c:v>
                </c:pt>
                <c:pt idx="3">
                  <c:v>SVO</c:v>
                </c:pt>
                <c:pt idx="4">
                  <c:v>VOS</c:v>
                </c:pt>
                <c:pt idx="5">
                  <c:v>VSO</c:v>
                </c:pt>
              </c:strCache>
            </c:strRef>
          </c:cat>
          <c:val>
            <c:numRef>
              <c:f>charts_1!$D$34:$D$40</c:f>
              <c:numCache>
                <c:formatCode>0.00%</c:formatCode>
                <c:ptCount val="6"/>
                <c:pt idx="0">
                  <c:v>0.41711711711711713</c:v>
                </c:pt>
                <c:pt idx="1">
                  <c:v>0.91776937618147447</c:v>
                </c:pt>
                <c:pt idx="2">
                  <c:v>0.37751256281407036</c:v>
                </c:pt>
                <c:pt idx="3">
                  <c:v>0.16613720851639066</c:v>
                </c:pt>
                <c:pt idx="4">
                  <c:v>0.95370370370370372</c:v>
                </c:pt>
                <c:pt idx="5">
                  <c:v>0.88023952095808389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4A-409B-9D28-A2655A6FE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017775"/>
        <c:axId val="666016335"/>
      </c:barChart>
      <c:catAx>
        <c:axId val="66601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66016335"/>
        <c:crosses val="autoZero"/>
        <c:auto val="1"/>
        <c:lblAlgn val="ctr"/>
        <c:lblOffset val="100"/>
        <c:noMultiLvlLbl val="0"/>
      </c:catAx>
      <c:valAx>
        <c:axId val="66601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6601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f-ZA"/>
              <a:t>Subject-Object-Verb</a:t>
            </a:r>
            <a:r>
              <a:rPr lang="af-ZA" baseline="0"/>
              <a:t> Word Order</a:t>
            </a:r>
            <a:endParaRPr lang="af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f-ZA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charts_2!$A$3</c:f>
              <c:strCache>
                <c:ptCount val="1"/>
                <c:pt idx="0">
                  <c:v>SVO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charts_2!$D$2:$L$2</c:f>
              <c:strCache>
                <c:ptCount val="9"/>
                <c:pt idx="0">
                  <c:v>French Written</c:v>
                </c:pt>
                <c:pt idx="1">
                  <c:v>French Spoken</c:v>
                </c:pt>
                <c:pt idx="2">
                  <c:v>Norwegian Written (bokmaal)</c:v>
                </c:pt>
                <c:pt idx="3">
                  <c:v>Norwegian Written (nynorsk)</c:v>
                </c:pt>
                <c:pt idx="4">
                  <c:v>Norwegian Spoken (nynorsk)</c:v>
                </c:pt>
                <c:pt idx="5">
                  <c:v>Slovenian Written</c:v>
                </c:pt>
                <c:pt idx="6">
                  <c:v>Slovenian Spoken</c:v>
                </c:pt>
                <c:pt idx="7">
                  <c:v>Spanish Written</c:v>
                </c:pt>
                <c:pt idx="8">
                  <c:v>Spanish Spoken</c:v>
                </c:pt>
              </c:strCache>
            </c:strRef>
          </c:cat>
          <c:val>
            <c:numRef>
              <c:f>charts_2!$D$3:$L$3</c:f>
              <c:numCache>
                <c:formatCode>General</c:formatCode>
                <c:ptCount val="9"/>
                <c:pt idx="0">
                  <c:v>0.84490800725576576</c:v>
                </c:pt>
                <c:pt idx="1">
                  <c:v>0.71148459383753504</c:v>
                </c:pt>
                <c:pt idx="2">
                  <c:v>0.83864893491820647</c:v>
                </c:pt>
                <c:pt idx="3">
                  <c:v>0.82331464336940929</c:v>
                </c:pt>
                <c:pt idx="4">
                  <c:v>0.59479305740987987</c:v>
                </c:pt>
                <c:pt idx="5">
                  <c:v>0.54529170931422721</c:v>
                </c:pt>
                <c:pt idx="6">
                  <c:v>0.39161676646706589</c:v>
                </c:pt>
                <c:pt idx="7">
                  <c:v>0.84542032622333751</c:v>
                </c:pt>
                <c:pt idx="8">
                  <c:v>0.46280991735537191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3-473B-973C-23C94B460649}"/>
            </c:ext>
          </c:extLst>
        </c:ser>
        <c:ser>
          <c:idx val="1"/>
          <c:order val="1"/>
          <c:tx>
            <c:strRef>
              <c:f>charts_2!$A$4</c:f>
              <c:strCache>
                <c:ptCount val="1"/>
                <c:pt idx="0">
                  <c:v>SOV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charts_2!$D$2:$L$2</c:f>
              <c:strCache>
                <c:ptCount val="9"/>
                <c:pt idx="0">
                  <c:v>French Written</c:v>
                </c:pt>
                <c:pt idx="1">
                  <c:v>French Spoken</c:v>
                </c:pt>
                <c:pt idx="2">
                  <c:v>Norwegian Written (bokmaal)</c:v>
                </c:pt>
                <c:pt idx="3">
                  <c:v>Norwegian Written (nynorsk)</c:v>
                </c:pt>
                <c:pt idx="4">
                  <c:v>Norwegian Spoken (nynorsk)</c:v>
                </c:pt>
                <c:pt idx="5">
                  <c:v>Slovenian Written</c:v>
                </c:pt>
                <c:pt idx="6">
                  <c:v>Slovenian Spoken</c:v>
                </c:pt>
                <c:pt idx="7">
                  <c:v>Spanish Written</c:v>
                </c:pt>
                <c:pt idx="8">
                  <c:v>Spanish Spoken</c:v>
                </c:pt>
              </c:strCache>
            </c:strRef>
          </c:cat>
          <c:val>
            <c:numRef>
              <c:f>charts_2!$D$4:$L$4</c:f>
              <c:numCache>
                <c:formatCode>General</c:formatCode>
                <c:ptCount val="9"/>
                <c:pt idx="0">
                  <c:v>0.10158072039388442</c:v>
                </c:pt>
                <c:pt idx="1">
                  <c:v>0.19047619047619047</c:v>
                </c:pt>
                <c:pt idx="2">
                  <c:v>8.2382017182535013E-4</c:v>
                </c:pt>
                <c:pt idx="3">
                  <c:v>5.2158038857738945E-4</c:v>
                </c:pt>
                <c:pt idx="4">
                  <c:v>9.3457943925233638E-3</c:v>
                </c:pt>
                <c:pt idx="5">
                  <c:v>0.10926305015353122</c:v>
                </c:pt>
                <c:pt idx="6">
                  <c:v>0.20838323353293414</c:v>
                </c:pt>
                <c:pt idx="7">
                  <c:v>6.148055207026349E-2</c:v>
                </c:pt>
                <c:pt idx="8">
                  <c:v>0.20661157024793389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3-473B-973C-23C94B460649}"/>
            </c:ext>
          </c:extLst>
        </c:ser>
        <c:ser>
          <c:idx val="2"/>
          <c:order val="2"/>
          <c:tx>
            <c:strRef>
              <c:f>charts_2!$A$5</c:f>
              <c:strCache>
                <c:ptCount val="1"/>
                <c:pt idx="0">
                  <c:v>OSV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charts_2!$D$2:$L$2</c:f>
              <c:strCache>
                <c:ptCount val="9"/>
                <c:pt idx="0">
                  <c:v>French Written</c:v>
                </c:pt>
                <c:pt idx="1">
                  <c:v>French Spoken</c:v>
                </c:pt>
                <c:pt idx="2">
                  <c:v>Norwegian Written (bokmaal)</c:v>
                </c:pt>
                <c:pt idx="3">
                  <c:v>Norwegian Written (nynorsk)</c:v>
                </c:pt>
                <c:pt idx="4">
                  <c:v>Norwegian Spoken (nynorsk)</c:v>
                </c:pt>
                <c:pt idx="5">
                  <c:v>Slovenian Written</c:v>
                </c:pt>
                <c:pt idx="6">
                  <c:v>Slovenian Spoken</c:v>
                </c:pt>
                <c:pt idx="7">
                  <c:v>Spanish Written</c:v>
                </c:pt>
                <c:pt idx="8">
                  <c:v>Spanish Spoken</c:v>
                </c:pt>
              </c:strCache>
            </c:strRef>
          </c:cat>
          <c:val>
            <c:numRef>
              <c:f>charts_2!$D$5:$L$5</c:f>
              <c:numCache>
                <c:formatCode>General</c:formatCode>
                <c:ptCount val="9"/>
                <c:pt idx="0">
                  <c:v>4.0684115055713913E-2</c:v>
                </c:pt>
                <c:pt idx="1">
                  <c:v>8.683473389355742E-2</c:v>
                </c:pt>
                <c:pt idx="2">
                  <c:v>2.8951394609862305E-2</c:v>
                </c:pt>
                <c:pt idx="3">
                  <c:v>2.6991785108879906E-2</c:v>
                </c:pt>
                <c:pt idx="4">
                  <c:v>0.12349799732977303</c:v>
                </c:pt>
                <c:pt idx="5">
                  <c:v>8.5209825997952918E-2</c:v>
                </c:pt>
                <c:pt idx="6">
                  <c:v>0.15568862275449102</c:v>
                </c:pt>
                <c:pt idx="7">
                  <c:v>2.0577164366373902E-2</c:v>
                </c:pt>
                <c:pt idx="8">
                  <c:v>4.1322314049586778E-2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D3-473B-973C-23C94B460649}"/>
            </c:ext>
          </c:extLst>
        </c:ser>
        <c:ser>
          <c:idx val="3"/>
          <c:order val="3"/>
          <c:tx>
            <c:strRef>
              <c:f>charts_2!$A$6</c:f>
              <c:strCache>
                <c:ptCount val="1"/>
                <c:pt idx="0">
                  <c:v>OVS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charts_2!$D$2:$L$2</c:f>
              <c:strCache>
                <c:ptCount val="9"/>
                <c:pt idx="0">
                  <c:v>French Written</c:v>
                </c:pt>
                <c:pt idx="1">
                  <c:v>French Spoken</c:v>
                </c:pt>
                <c:pt idx="2">
                  <c:v>Norwegian Written (bokmaal)</c:v>
                </c:pt>
                <c:pt idx="3">
                  <c:v>Norwegian Written (nynorsk)</c:v>
                </c:pt>
                <c:pt idx="4">
                  <c:v>Norwegian Spoken (nynorsk)</c:v>
                </c:pt>
                <c:pt idx="5">
                  <c:v>Slovenian Written</c:v>
                </c:pt>
                <c:pt idx="6">
                  <c:v>Slovenian Spoken</c:v>
                </c:pt>
                <c:pt idx="7">
                  <c:v>Spanish Written</c:v>
                </c:pt>
                <c:pt idx="8">
                  <c:v>Spanish Spoken</c:v>
                </c:pt>
              </c:strCache>
            </c:strRef>
          </c:cat>
          <c:val>
            <c:numRef>
              <c:f>charts_2!$D$6:$L$6</c:f>
              <c:numCache>
                <c:formatCode>General</c:formatCode>
                <c:ptCount val="9"/>
                <c:pt idx="0">
                  <c:v>9.8471106504275721E-3</c:v>
                </c:pt>
                <c:pt idx="1">
                  <c:v>9.3370681605975722E-3</c:v>
                </c:pt>
                <c:pt idx="2">
                  <c:v>1.9536306931858302E-2</c:v>
                </c:pt>
                <c:pt idx="3">
                  <c:v>2.1906376320250359E-2</c:v>
                </c:pt>
                <c:pt idx="4">
                  <c:v>9.7463284379172233E-2</c:v>
                </c:pt>
                <c:pt idx="5">
                  <c:v>0.21136131013306039</c:v>
                </c:pt>
                <c:pt idx="6">
                  <c:v>0.17365269461077845</c:v>
                </c:pt>
                <c:pt idx="7">
                  <c:v>5.520702634880803E-2</c:v>
                </c:pt>
                <c:pt idx="8">
                  <c:v>0.19834710743801653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D3-473B-973C-23C94B460649}"/>
            </c:ext>
          </c:extLst>
        </c:ser>
        <c:ser>
          <c:idx val="4"/>
          <c:order val="4"/>
          <c:tx>
            <c:strRef>
              <c:f>charts_2!$A$7</c:f>
              <c:strCache>
                <c:ptCount val="1"/>
                <c:pt idx="0">
                  <c:v>VSO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charts_2!$D$2:$L$2</c:f>
              <c:strCache>
                <c:ptCount val="9"/>
                <c:pt idx="0">
                  <c:v>French Written</c:v>
                </c:pt>
                <c:pt idx="1">
                  <c:v>French Spoken</c:v>
                </c:pt>
                <c:pt idx="2">
                  <c:v>Norwegian Written (bokmaal)</c:v>
                </c:pt>
                <c:pt idx="3">
                  <c:v>Norwegian Written (nynorsk)</c:v>
                </c:pt>
                <c:pt idx="4">
                  <c:v>Norwegian Spoken (nynorsk)</c:v>
                </c:pt>
                <c:pt idx="5">
                  <c:v>Slovenian Written</c:v>
                </c:pt>
                <c:pt idx="6">
                  <c:v>Slovenian Spoken</c:v>
                </c:pt>
                <c:pt idx="7">
                  <c:v>Spanish Written</c:v>
                </c:pt>
                <c:pt idx="8">
                  <c:v>Spanish Spoken</c:v>
                </c:pt>
              </c:strCache>
            </c:strRef>
          </c:cat>
          <c:val>
            <c:numRef>
              <c:f>charts_2!$D$7:$L$7</c:f>
              <c:numCache>
                <c:formatCode>General</c:formatCode>
                <c:ptCount val="9"/>
                <c:pt idx="0">
                  <c:v>2.3322104172065301E-3</c:v>
                </c:pt>
                <c:pt idx="1">
                  <c:v>1.8674136321195146E-3</c:v>
                </c:pt>
                <c:pt idx="2">
                  <c:v>0.11109803460044722</c:v>
                </c:pt>
                <c:pt idx="3">
                  <c:v>0.12504889816142914</c:v>
                </c:pt>
                <c:pt idx="4">
                  <c:v>0.17356475300400534</c:v>
                </c:pt>
                <c:pt idx="5">
                  <c:v>2.7635619242579325E-2</c:v>
                </c:pt>
                <c:pt idx="6">
                  <c:v>4.6706586826347304E-2</c:v>
                </c:pt>
                <c:pt idx="7">
                  <c:v>3.7641154328732747E-3</c:v>
                </c:pt>
                <c:pt idx="8">
                  <c:v>4.9586776859504134E-2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D3-473B-973C-23C94B460649}"/>
            </c:ext>
          </c:extLst>
        </c:ser>
        <c:ser>
          <c:idx val="5"/>
          <c:order val="5"/>
          <c:tx>
            <c:strRef>
              <c:f>charts_2!$A$8</c:f>
              <c:strCache>
                <c:ptCount val="1"/>
                <c:pt idx="0">
                  <c:v>VOS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charts_2!$D$2:$L$2</c:f>
              <c:strCache>
                <c:ptCount val="9"/>
                <c:pt idx="0">
                  <c:v>French Written</c:v>
                </c:pt>
                <c:pt idx="1">
                  <c:v>French Spoken</c:v>
                </c:pt>
                <c:pt idx="2">
                  <c:v>Norwegian Written (bokmaal)</c:v>
                </c:pt>
                <c:pt idx="3">
                  <c:v>Norwegian Written (nynorsk)</c:v>
                </c:pt>
                <c:pt idx="4">
                  <c:v>Norwegian Spoken (nynorsk)</c:v>
                </c:pt>
                <c:pt idx="5">
                  <c:v>Slovenian Written</c:v>
                </c:pt>
                <c:pt idx="6">
                  <c:v>Slovenian Spoken</c:v>
                </c:pt>
                <c:pt idx="7">
                  <c:v>Spanish Written</c:v>
                </c:pt>
                <c:pt idx="8">
                  <c:v>Spanish Spoken</c:v>
                </c:pt>
              </c:strCache>
            </c:strRef>
          </c:cat>
          <c:val>
            <c:numRef>
              <c:f>charts_2!$D$8:$L$8</c:f>
              <c:numCache>
                <c:formatCode>General</c:formatCode>
                <c:ptCount val="9"/>
                <c:pt idx="0">
                  <c:v>6.4783622700181399E-4</c:v>
                </c:pt>
                <c:pt idx="1">
                  <c:v>0</c:v>
                </c:pt>
                <c:pt idx="2">
                  <c:v>9.4150876780040016E-4</c:v>
                </c:pt>
                <c:pt idx="3">
                  <c:v>2.2167166514539052E-3</c:v>
                </c:pt>
                <c:pt idx="4">
                  <c:v>1.3351134846461949E-3</c:v>
                </c:pt>
                <c:pt idx="5">
                  <c:v>2.1238485158648925E-2</c:v>
                </c:pt>
                <c:pt idx="6">
                  <c:v>2.3952095808383235E-2</c:v>
                </c:pt>
                <c:pt idx="7">
                  <c:v>1.3550815558343789E-2</c:v>
                </c:pt>
                <c:pt idx="8">
                  <c:v>4.1322314049586778E-2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D3-473B-973C-23C94B460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856100160"/>
        <c:axId val="856103520"/>
      </c:barChart>
      <c:catAx>
        <c:axId val="856100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6103520"/>
        <c:crosses val="autoZero"/>
        <c:auto val="1"/>
        <c:lblAlgn val="ctr"/>
        <c:lblOffset val="100"/>
        <c:noMultiLvlLbl val="0"/>
      </c:catAx>
      <c:valAx>
        <c:axId val="85610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610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f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Subject-Object-Verb Word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charts_2!$A$3</c:f>
              <c:strCache>
                <c:ptCount val="1"/>
                <c:pt idx="0">
                  <c:v>SVO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charts_2!$B$2:$L$2</c:f>
              <c:strCache>
                <c:ptCount val="11"/>
                <c:pt idx="0">
                  <c:v>English Written</c:v>
                </c:pt>
                <c:pt idx="1">
                  <c:v>English Spoken</c:v>
                </c:pt>
                <c:pt idx="2">
                  <c:v>French Written</c:v>
                </c:pt>
                <c:pt idx="3">
                  <c:v>French Spoken</c:v>
                </c:pt>
                <c:pt idx="4">
                  <c:v>Norwegian Written (bokmaal)</c:v>
                </c:pt>
                <c:pt idx="5">
                  <c:v>Norwegian Written (nynorsk)</c:v>
                </c:pt>
                <c:pt idx="6">
                  <c:v>Norwegian Spoken (nynorsk)</c:v>
                </c:pt>
                <c:pt idx="7">
                  <c:v>Slovenian Written</c:v>
                </c:pt>
                <c:pt idx="8">
                  <c:v>Slovenian Spoken</c:v>
                </c:pt>
                <c:pt idx="9">
                  <c:v>Spanish Written</c:v>
                </c:pt>
                <c:pt idx="10">
                  <c:v>Spanish Spoken</c:v>
                </c:pt>
              </c:strCache>
            </c:strRef>
          </c:cat>
          <c:val>
            <c:numRef>
              <c:f>charts_2!$B$3:$L$3</c:f>
              <c:numCache>
                <c:formatCode>General</c:formatCode>
                <c:ptCount val="11"/>
                <c:pt idx="0">
                  <c:v>0.97372013651877132</c:v>
                </c:pt>
                <c:pt idx="1">
                  <c:v>0.92947635135135132</c:v>
                </c:pt>
                <c:pt idx="2">
                  <c:v>0.84490800725576576</c:v>
                </c:pt>
                <c:pt idx="3">
                  <c:v>0.71148459383753504</c:v>
                </c:pt>
                <c:pt idx="4">
                  <c:v>0.83864893491820647</c:v>
                </c:pt>
                <c:pt idx="5">
                  <c:v>0.82331464336940929</c:v>
                </c:pt>
                <c:pt idx="6">
                  <c:v>0.59479305740987987</c:v>
                </c:pt>
                <c:pt idx="7">
                  <c:v>0.54529170931422721</c:v>
                </c:pt>
                <c:pt idx="8">
                  <c:v>0.39161676646706589</c:v>
                </c:pt>
                <c:pt idx="9">
                  <c:v>0.84542032622333751</c:v>
                </c:pt>
                <c:pt idx="10">
                  <c:v>0.46280991735537191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9-4320-B8F3-23C7837347D9}"/>
            </c:ext>
          </c:extLst>
        </c:ser>
        <c:ser>
          <c:idx val="1"/>
          <c:order val="1"/>
          <c:tx>
            <c:strRef>
              <c:f>charts_2!$A$4</c:f>
              <c:strCache>
                <c:ptCount val="1"/>
                <c:pt idx="0">
                  <c:v>SOV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charts_2!$B$2:$L$2</c:f>
              <c:strCache>
                <c:ptCount val="11"/>
                <c:pt idx="0">
                  <c:v>English Written</c:v>
                </c:pt>
                <c:pt idx="1">
                  <c:v>English Spoken</c:v>
                </c:pt>
                <c:pt idx="2">
                  <c:v>French Written</c:v>
                </c:pt>
                <c:pt idx="3">
                  <c:v>French Spoken</c:v>
                </c:pt>
                <c:pt idx="4">
                  <c:v>Norwegian Written (bokmaal)</c:v>
                </c:pt>
                <c:pt idx="5">
                  <c:v>Norwegian Written (nynorsk)</c:v>
                </c:pt>
                <c:pt idx="6">
                  <c:v>Norwegian Spoken (nynorsk)</c:v>
                </c:pt>
                <c:pt idx="7">
                  <c:v>Slovenian Written</c:v>
                </c:pt>
                <c:pt idx="8">
                  <c:v>Slovenian Spoken</c:v>
                </c:pt>
                <c:pt idx="9">
                  <c:v>Spanish Written</c:v>
                </c:pt>
                <c:pt idx="10">
                  <c:v>Spanish Spoken</c:v>
                </c:pt>
              </c:strCache>
            </c:strRef>
          </c:cat>
          <c:val>
            <c:numRef>
              <c:f>charts_2!$B$4:$L$4</c:f>
              <c:numCache>
                <c:formatCode>General</c:formatCode>
                <c:ptCount val="11"/>
                <c:pt idx="0">
                  <c:v>0</c:v>
                </c:pt>
                <c:pt idx="1">
                  <c:v>1.266891891891892E-3</c:v>
                </c:pt>
                <c:pt idx="2">
                  <c:v>0.10158072039388442</c:v>
                </c:pt>
                <c:pt idx="3">
                  <c:v>0.19047619047619047</c:v>
                </c:pt>
                <c:pt idx="4">
                  <c:v>8.2382017182535013E-4</c:v>
                </c:pt>
                <c:pt idx="5">
                  <c:v>5.2158038857738945E-4</c:v>
                </c:pt>
                <c:pt idx="6">
                  <c:v>9.3457943925233638E-3</c:v>
                </c:pt>
                <c:pt idx="7">
                  <c:v>0.10926305015353122</c:v>
                </c:pt>
                <c:pt idx="8">
                  <c:v>0.20838323353293414</c:v>
                </c:pt>
                <c:pt idx="9">
                  <c:v>6.148055207026349E-2</c:v>
                </c:pt>
                <c:pt idx="10">
                  <c:v>0.20661157024793389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E9-4320-B8F3-23C7837347D9}"/>
            </c:ext>
          </c:extLst>
        </c:ser>
        <c:ser>
          <c:idx val="2"/>
          <c:order val="2"/>
          <c:tx>
            <c:strRef>
              <c:f>charts_2!$A$5</c:f>
              <c:strCache>
                <c:ptCount val="1"/>
                <c:pt idx="0">
                  <c:v>OSV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charts_2!$B$2:$L$2</c:f>
              <c:strCache>
                <c:ptCount val="11"/>
                <c:pt idx="0">
                  <c:v>English Written</c:v>
                </c:pt>
                <c:pt idx="1">
                  <c:v>English Spoken</c:v>
                </c:pt>
                <c:pt idx="2">
                  <c:v>French Written</c:v>
                </c:pt>
                <c:pt idx="3">
                  <c:v>French Spoken</c:v>
                </c:pt>
                <c:pt idx="4">
                  <c:v>Norwegian Written (bokmaal)</c:v>
                </c:pt>
                <c:pt idx="5">
                  <c:v>Norwegian Written (nynorsk)</c:v>
                </c:pt>
                <c:pt idx="6">
                  <c:v>Norwegian Spoken (nynorsk)</c:v>
                </c:pt>
                <c:pt idx="7">
                  <c:v>Slovenian Written</c:v>
                </c:pt>
                <c:pt idx="8">
                  <c:v>Slovenian Spoken</c:v>
                </c:pt>
                <c:pt idx="9">
                  <c:v>Spanish Written</c:v>
                </c:pt>
                <c:pt idx="10">
                  <c:v>Spanish Spoken</c:v>
                </c:pt>
              </c:strCache>
            </c:strRef>
          </c:cat>
          <c:val>
            <c:numRef>
              <c:f>charts_2!$B$5:$L$5</c:f>
              <c:numCache>
                <c:formatCode>General</c:formatCode>
                <c:ptCount val="11"/>
                <c:pt idx="0">
                  <c:v>2.6279863481228669E-2</c:v>
                </c:pt>
                <c:pt idx="1">
                  <c:v>6.8834459459459457E-2</c:v>
                </c:pt>
                <c:pt idx="2">
                  <c:v>4.0684115055713913E-2</c:v>
                </c:pt>
                <c:pt idx="3">
                  <c:v>8.683473389355742E-2</c:v>
                </c:pt>
                <c:pt idx="4">
                  <c:v>2.8951394609862305E-2</c:v>
                </c:pt>
                <c:pt idx="5">
                  <c:v>2.6991785108879906E-2</c:v>
                </c:pt>
                <c:pt idx="6">
                  <c:v>0.12349799732977303</c:v>
                </c:pt>
                <c:pt idx="7">
                  <c:v>8.5209825997952918E-2</c:v>
                </c:pt>
                <c:pt idx="8">
                  <c:v>0.15568862275449102</c:v>
                </c:pt>
                <c:pt idx="9">
                  <c:v>2.0577164366373902E-2</c:v>
                </c:pt>
                <c:pt idx="10">
                  <c:v>4.1322314049586778E-2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E9-4320-B8F3-23C7837347D9}"/>
            </c:ext>
          </c:extLst>
        </c:ser>
        <c:ser>
          <c:idx val="3"/>
          <c:order val="3"/>
          <c:tx>
            <c:strRef>
              <c:f>charts_2!$A$6</c:f>
              <c:strCache>
                <c:ptCount val="1"/>
                <c:pt idx="0">
                  <c:v>OVS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charts_2!$B$2:$L$2</c:f>
              <c:strCache>
                <c:ptCount val="11"/>
                <c:pt idx="0">
                  <c:v>English Written</c:v>
                </c:pt>
                <c:pt idx="1">
                  <c:v>English Spoken</c:v>
                </c:pt>
                <c:pt idx="2">
                  <c:v>French Written</c:v>
                </c:pt>
                <c:pt idx="3">
                  <c:v>French Spoken</c:v>
                </c:pt>
                <c:pt idx="4">
                  <c:v>Norwegian Written (bokmaal)</c:v>
                </c:pt>
                <c:pt idx="5">
                  <c:v>Norwegian Written (nynorsk)</c:v>
                </c:pt>
                <c:pt idx="6">
                  <c:v>Norwegian Spoken (nynorsk)</c:v>
                </c:pt>
                <c:pt idx="7">
                  <c:v>Slovenian Written</c:v>
                </c:pt>
                <c:pt idx="8">
                  <c:v>Slovenian Spoken</c:v>
                </c:pt>
                <c:pt idx="9">
                  <c:v>Spanish Written</c:v>
                </c:pt>
                <c:pt idx="10">
                  <c:v>Spanish Spoken</c:v>
                </c:pt>
              </c:strCache>
            </c:strRef>
          </c:cat>
          <c:val>
            <c:numRef>
              <c:f>charts_2!$B$6:$L$6</c:f>
              <c:numCache>
                <c:formatCode>General</c:formatCode>
                <c:ptCount val="11"/>
                <c:pt idx="0">
                  <c:v>0</c:v>
                </c:pt>
                <c:pt idx="1">
                  <c:v>4.2229729729729732E-4</c:v>
                </c:pt>
                <c:pt idx="2">
                  <c:v>9.8471106504275721E-3</c:v>
                </c:pt>
                <c:pt idx="3">
                  <c:v>9.3370681605975722E-3</c:v>
                </c:pt>
                <c:pt idx="4">
                  <c:v>1.9536306931858302E-2</c:v>
                </c:pt>
                <c:pt idx="5">
                  <c:v>2.1906376320250359E-2</c:v>
                </c:pt>
                <c:pt idx="6">
                  <c:v>9.7463284379172233E-2</c:v>
                </c:pt>
                <c:pt idx="7">
                  <c:v>0.21136131013306039</c:v>
                </c:pt>
                <c:pt idx="8">
                  <c:v>0.17365269461077845</c:v>
                </c:pt>
                <c:pt idx="9">
                  <c:v>5.520702634880803E-2</c:v>
                </c:pt>
                <c:pt idx="10">
                  <c:v>0.19834710743801653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E9-4320-B8F3-23C7837347D9}"/>
            </c:ext>
          </c:extLst>
        </c:ser>
        <c:ser>
          <c:idx val="4"/>
          <c:order val="4"/>
          <c:tx>
            <c:strRef>
              <c:f>charts_2!$A$7</c:f>
              <c:strCache>
                <c:ptCount val="1"/>
                <c:pt idx="0">
                  <c:v>VSO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charts_2!$B$2:$L$2</c:f>
              <c:strCache>
                <c:ptCount val="11"/>
                <c:pt idx="0">
                  <c:v>English Written</c:v>
                </c:pt>
                <c:pt idx="1">
                  <c:v>English Spoken</c:v>
                </c:pt>
                <c:pt idx="2">
                  <c:v>French Written</c:v>
                </c:pt>
                <c:pt idx="3">
                  <c:v>French Spoken</c:v>
                </c:pt>
                <c:pt idx="4">
                  <c:v>Norwegian Written (bokmaal)</c:v>
                </c:pt>
                <c:pt idx="5">
                  <c:v>Norwegian Written (nynorsk)</c:v>
                </c:pt>
                <c:pt idx="6">
                  <c:v>Norwegian Spoken (nynorsk)</c:v>
                </c:pt>
                <c:pt idx="7">
                  <c:v>Slovenian Written</c:v>
                </c:pt>
                <c:pt idx="8">
                  <c:v>Slovenian Spoken</c:v>
                </c:pt>
                <c:pt idx="9">
                  <c:v>Spanish Written</c:v>
                </c:pt>
                <c:pt idx="10">
                  <c:v>Spanish Spoken</c:v>
                </c:pt>
              </c:strCache>
            </c:strRef>
          </c:cat>
          <c:val>
            <c:numRef>
              <c:f>charts_2!$B$7:$L$7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2.3322104172065301E-3</c:v>
                </c:pt>
                <c:pt idx="3">
                  <c:v>1.8674136321195146E-3</c:v>
                </c:pt>
                <c:pt idx="4">
                  <c:v>0.11109803460044722</c:v>
                </c:pt>
                <c:pt idx="5">
                  <c:v>0.12504889816142914</c:v>
                </c:pt>
                <c:pt idx="6">
                  <c:v>0.17356475300400534</c:v>
                </c:pt>
                <c:pt idx="7">
                  <c:v>2.7635619242579325E-2</c:v>
                </c:pt>
                <c:pt idx="8">
                  <c:v>4.6706586826347304E-2</c:v>
                </c:pt>
                <c:pt idx="9">
                  <c:v>3.7641154328732747E-3</c:v>
                </c:pt>
                <c:pt idx="10">
                  <c:v>4.9586776859504134E-2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E9-4320-B8F3-23C7837347D9}"/>
            </c:ext>
          </c:extLst>
        </c:ser>
        <c:ser>
          <c:idx val="5"/>
          <c:order val="5"/>
          <c:tx>
            <c:strRef>
              <c:f>charts_2!$A$8</c:f>
              <c:strCache>
                <c:ptCount val="1"/>
                <c:pt idx="0">
                  <c:v>VOS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charts_2!$B$2:$L$2</c:f>
              <c:strCache>
                <c:ptCount val="11"/>
                <c:pt idx="0">
                  <c:v>English Written</c:v>
                </c:pt>
                <c:pt idx="1">
                  <c:v>English Spoken</c:v>
                </c:pt>
                <c:pt idx="2">
                  <c:v>French Written</c:v>
                </c:pt>
                <c:pt idx="3">
                  <c:v>French Spoken</c:v>
                </c:pt>
                <c:pt idx="4">
                  <c:v>Norwegian Written (bokmaal)</c:v>
                </c:pt>
                <c:pt idx="5">
                  <c:v>Norwegian Written (nynorsk)</c:v>
                </c:pt>
                <c:pt idx="6">
                  <c:v>Norwegian Spoken (nynorsk)</c:v>
                </c:pt>
                <c:pt idx="7">
                  <c:v>Slovenian Written</c:v>
                </c:pt>
                <c:pt idx="8">
                  <c:v>Slovenian Spoken</c:v>
                </c:pt>
                <c:pt idx="9">
                  <c:v>Spanish Written</c:v>
                </c:pt>
                <c:pt idx="10">
                  <c:v>Spanish Spoken</c:v>
                </c:pt>
              </c:strCache>
            </c:strRef>
          </c:cat>
          <c:val>
            <c:numRef>
              <c:f>charts_2!$B$8:$L$8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6.4783622700181399E-4</c:v>
                </c:pt>
                <c:pt idx="3">
                  <c:v>0</c:v>
                </c:pt>
                <c:pt idx="4">
                  <c:v>9.4150876780040016E-4</c:v>
                </c:pt>
                <c:pt idx="5">
                  <c:v>2.2167166514539052E-3</c:v>
                </c:pt>
                <c:pt idx="6">
                  <c:v>1.3351134846461949E-3</c:v>
                </c:pt>
                <c:pt idx="7">
                  <c:v>2.1238485158648925E-2</c:v>
                </c:pt>
                <c:pt idx="8">
                  <c:v>2.3952095808383235E-2</c:v>
                </c:pt>
                <c:pt idx="9">
                  <c:v>1.3550815558343789E-2</c:v>
                </c:pt>
                <c:pt idx="10">
                  <c:v>4.1322314049586778E-2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E9-4320-B8F3-23C783734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6126080"/>
        <c:axId val="856133280"/>
      </c:barChart>
      <c:catAx>
        <c:axId val="85612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6133280"/>
        <c:crosses val="autoZero"/>
        <c:auto val="1"/>
        <c:lblAlgn val="ctr"/>
        <c:lblOffset val="100"/>
        <c:noMultiLvlLbl val="0"/>
      </c:catAx>
      <c:valAx>
        <c:axId val="85613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612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12</xdr:row>
      <xdr:rowOff>19050</xdr:rowOff>
    </xdr:from>
    <xdr:to>
      <xdr:col>4</xdr:col>
      <xdr:colOff>158750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5AFF32-D1C8-24F2-C417-F291474B5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12700</xdr:rowOff>
    </xdr:from>
    <xdr:to>
      <xdr:col>5</xdr:col>
      <xdr:colOff>0</xdr:colOff>
      <xdr:row>55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9B84C6-A54E-5EFA-4D0B-CF4EF8C63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44824</xdr:rowOff>
    </xdr:from>
    <xdr:to>
      <xdr:col>12</xdr:col>
      <xdr:colOff>22412</xdr:colOff>
      <xdr:row>36</xdr:row>
      <xdr:rowOff>92728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4F6C03-18A3-5681-1080-D31AF21BC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13167</xdr:rowOff>
    </xdr:from>
    <xdr:to>
      <xdr:col>12</xdr:col>
      <xdr:colOff>11206</xdr:colOff>
      <xdr:row>58</xdr:row>
      <xdr:rowOff>145677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7D39EC-DEB8-0104-B5F8-04345901E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ves Hüll" refreshedDate="45710.811575" createdVersion="8" refreshedVersion="8" minRefreshableVersion="3" recordCount="29" xr:uid="{D6338358-5D5E-4A34-A482-AFD1EAFA4742}">
  <cacheSource type="worksheet">
    <worksheetSource ref="A2:G31" sheet="stats"/>
  </cacheSource>
  <cacheFields count="7">
    <cacheField name="Language" numFmtId="0">
      <sharedItems count="3">
        <s v="French"/>
        <s v="English"/>
        <s v="Slovenian"/>
      </sharedItems>
    </cacheField>
    <cacheField name="Corpus Type" numFmtId="0">
      <sharedItems count="2">
        <s v="written"/>
        <s v="spoken"/>
      </sharedItems>
    </cacheField>
    <cacheField name="Corpus" numFmtId="0">
      <sharedItems/>
    </cacheField>
    <cacheField name="Pattern" numFmtId="0">
      <sharedItems count="6">
        <s v="SVO"/>
        <s v="SOV"/>
        <s v="OSV"/>
        <s v="OVS"/>
        <s v="VSO"/>
        <s v="VOS"/>
      </sharedItems>
    </cacheField>
    <cacheField name="Absolute frequency" numFmtId="2">
      <sharedItems containsSemiMixedTypes="0" containsString="0" containsNumber="1" containsInteger="1" minValue="1" maxValue="6521"/>
    </cacheField>
    <cacheField name="Relative frequency" numFmtId="2">
      <sharedItems/>
    </cacheField>
    <cacheField name="Proportion in Corpus" numFmtId="0">
      <sharedItems containsSemiMixedTypes="0" containsString="0" containsNumber="1" minValue="4.2229729729729732E-4" maxValue="0.973720136518771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s v="GSD"/>
    <x v="0"/>
    <n v="6521"/>
    <s v="16286.6"/>
    <n v="0.84490800725576576"/>
  </r>
  <r>
    <x v="0"/>
    <x v="0"/>
    <s v="GSD"/>
    <x v="1"/>
    <n v="784"/>
    <s v="1958.1"/>
    <n v="0.10158072039388442"/>
  </r>
  <r>
    <x v="0"/>
    <x v="0"/>
    <s v="GSD"/>
    <x v="2"/>
    <n v="314"/>
    <s v="784.2"/>
    <n v="4.0684115055713913E-2"/>
  </r>
  <r>
    <x v="0"/>
    <x v="0"/>
    <s v="GSD"/>
    <x v="3"/>
    <n v="76"/>
    <s v="189.8"/>
    <n v="9.8471106504275721E-3"/>
  </r>
  <r>
    <x v="0"/>
    <x v="0"/>
    <s v="GSD"/>
    <x v="4"/>
    <n v="18"/>
    <s v="45.0"/>
    <n v="2.3322104172065301E-3"/>
  </r>
  <r>
    <x v="0"/>
    <x v="0"/>
    <s v="GSD"/>
    <x v="5"/>
    <n v="5"/>
    <s v="12.5"/>
    <n v="6.4783622700181399E-4"/>
  </r>
  <r>
    <x v="0"/>
    <x v="1"/>
    <s v="Rhapsodie"/>
    <x v="0"/>
    <n v="762"/>
    <s v="17223.5"/>
    <n v="0.71148459383753504"/>
  </r>
  <r>
    <x v="0"/>
    <x v="1"/>
    <s v="Rhapsodie"/>
    <x v="1"/>
    <n v="204"/>
    <s v="4611.0"/>
    <n v="0.19047619047619047"/>
  </r>
  <r>
    <x v="0"/>
    <x v="1"/>
    <s v="Rhapsodie"/>
    <x v="2"/>
    <n v="93"/>
    <s v="2102.1"/>
    <n v="8.683473389355742E-2"/>
  </r>
  <r>
    <x v="0"/>
    <x v="1"/>
    <s v="Rhapsodie"/>
    <x v="3"/>
    <n v="10"/>
    <s v="226.0"/>
    <n v="9.3370681605975722E-3"/>
  </r>
  <r>
    <x v="0"/>
    <x v="1"/>
    <s v="Rhapsodie"/>
    <x v="4"/>
    <n v="2"/>
    <s v="45.2"/>
    <n v="1.8674136321195146E-3"/>
  </r>
  <r>
    <x v="1"/>
    <x v="0"/>
    <s v="GUM-W"/>
    <x v="0"/>
    <n v="2853"/>
    <s v="21780.3"/>
    <n v="0.97372013651877132"/>
  </r>
  <r>
    <x v="1"/>
    <x v="0"/>
    <s v="GUM-W"/>
    <x v="2"/>
    <n v="77"/>
    <s v="587.8"/>
    <n v="2.6279863481228669E-2"/>
  </r>
  <r>
    <x v="1"/>
    <x v="1"/>
    <s v="GUM-S"/>
    <x v="0"/>
    <n v="2201"/>
    <s v="27196.3"/>
    <n v="0.92947635135135132"/>
  </r>
  <r>
    <x v="1"/>
    <x v="1"/>
    <s v="GUM-S"/>
    <x v="2"/>
    <n v="163"/>
    <s v="2014.1"/>
    <n v="6.8834459459459457E-2"/>
  </r>
  <r>
    <x v="1"/>
    <x v="1"/>
    <s v="GUM-S"/>
    <x v="1"/>
    <n v="3"/>
    <s v="37.1"/>
    <n v="1.266891891891892E-3"/>
  </r>
  <r>
    <x v="1"/>
    <x v="1"/>
    <s v="GUM-S"/>
    <x v="3"/>
    <n v="1"/>
    <s v="12.4"/>
    <n v="4.2229729729729732E-4"/>
  </r>
  <r>
    <x v="2"/>
    <x v="0"/>
    <s v="SSJ"/>
    <x v="0"/>
    <n v="2131"/>
    <s v="7978.4"/>
    <n v="0.54529170931422721"/>
  </r>
  <r>
    <x v="2"/>
    <x v="0"/>
    <s v="SSJ"/>
    <x v="3"/>
    <n v="826"/>
    <s v="3092.5"/>
    <n v="0.21136131013306039"/>
  </r>
  <r>
    <x v="2"/>
    <x v="0"/>
    <s v="SSJ"/>
    <x v="1"/>
    <n v="427"/>
    <s v="1598.7"/>
    <n v="0.10926305015353122"/>
  </r>
  <r>
    <x v="2"/>
    <x v="0"/>
    <s v="SSJ"/>
    <x v="2"/>
    <n v="333"/>
    <s v="1246.7"/>
    <n v="8.5209825997952918E-2"/>
  </r>
  <r>
    <x v="2"/>
    <x v="0"/>
    <s v="SSJ"/>
    <x v="4"/>
    <n v="108"/>
    <s v="404.3"/>
    <n v="2.7635619242579325E-2"/>
  </r>
  <r>
    <x v="2"/>
    <x v="0"/>
    <s v="SSJ"/>
    <x v="5"/>
    <n v="83"/>
    <s v="310.7"/>
    <n v="2.1238485158648925E-2"/>
  </r>
  <r>
    <x v="2"/>
    <x v="1"/>
    <s v="SST"/>
    <x v="0"/>
    <n v="327"/>
    <s v="3323.4"/>
    <n v="0.39161676646706589"/>
  </r>
  <r>
    <x v="2"/>
    <x v="1"/>
    <s v="SST"/>
    <x v="1"/>
    <n v="174"/>
    <s v="1768.4"/>
    <n v="0.20838323353293414"/>
  </r>
  <r>
    <x v="2"/>
    <x v="1"/>
    <s v="SST"/>
    <x v="3"/>
    <n v="145"/>
    <s v="1473.7"/>
    <n v="0.17365269461077845"/>
  </r>
  <r>
    <x v="2"/>
    <x v="1"/>
    <s v="SST"/>
    <x v="2"/>
    <n v="130"/>
    <s v="1321.2"/>
    <n v="0.15568862275449102"/>
  </r>
  <r>
    <x v="2"/>
    <x v="1"/>
    <s v="SST"/>
    <x v="4"/>
    <n v="39"/>
    <s v="396.4"/>
    <n v="4.6706586826347304E-2"/>
  </r>
  <r>
    <x v="2"/>
    <x v="1"/>
    <s v="SST"/>
    <x v="5"/>
    <n v="20"/>
    <s v="203.3"/>
    <n v="2.395209580838323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5B85E-406C-409A-85DF-B5F2D0316C7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11" firstHeaderRow="1" firstDataRow="2" firstDataCol="1" rowPageCount="1" colPageCount="1"/>
  <pivotFields count="7">
    <pivotField axis="axisCol" showAll="0">
      <items count="4"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axis="axisRow" showAll="0">
      <items count="7">
        <item x="2"/>
        <item x="3"/>
        <item x="1"/>
        <item x="0"/>
        <item x="5"/>
        <item x="4"/>
        <item t="default"/>
      </items>
    </pivotField>
    <pivotField dataField="1" numFmtId="2"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Sum of Absolute frequency" fld="4" showDataAs="percentOfCol" baseField="0" baseItem="0" numFmtId="10"/>
  </dataFields>
  <chartFormats count="3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5C27F-8030-4DA2-825F-D3DC11AE89E7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2:E40" firstHeaderRow="1" firstDataRow="2" firstDataCol="1" rowPageCount="1" colPageCount="1"/>
  <pivotFields count="7">
    <pivotField axis="axisCol" showAll="0">
      <items count="4"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axis="axisRow" showAll="0">
      <items count="7">
        <item x="2"/>
        <item x="3"/>
        <item x="1"/>
        <item x="0"/>
        <item x="5"/>
        <item x="4"/>
        <item t="default"/>
      </items>
    </pivotField>
    <pivotField dataField="1" numFmtId="2"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Sum of Absolute frequency" fld="4" showDataAs="percentOfRow" baseField="0" baseItem="0" numFmtId="10"/>
  </dataFields>
  <chartFormats count="6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universal.grew.fr/?corpus=UD_French-Rhapsodie&amp;request=pattern%20%7BC%20%5B%5D%3B%20A%20%5B%5D%3B%20B%20%5B%5D%3B%20C%20-%5Bobj%5D-%3E%20A%3B%20C%20-%5Bnsubj%5D-%3E%20B%3B%20C%20%3E%3E%20A%3B%20C%20%3E%3E%20B%7D" TargetMode="External"/><Relationship Id="rId3" Type="http://schemas.openxmlformats.org/officeDocument/2006/relationships/hyperlink" Target="http://universal.grew.fr/?corpus=UD_English-GUM&amp;request=pattern%20%7BC%20%5B%5D%3B%20A%20%5B%5D%3B%20B%20%5B%5D%3B%20C%20-%5Bobj%5D-%3E%20A%3B%20C%20-%5Bnsubj%5D-%3E%20B%3B%20C%20%3E%3E%20A%3B%20C%20%3E%3E%20B%7D" TargetMode="External"/><Relationship Id="rId7" Type="http://schemas.openxmlformats.org/officeDocument/2006/relationships/hyperlink" Target="http://universal.grew.fr/?corpus=UD_French-Rhapsodie&amp;request=pattern%20%7BC%20%5B%5D%3B%20A%20%5B%5D%3B%20B%20%5B%5D%3B%20C%20-%5Bnsubj%5D-%3E%20A%3B%20C%20-%5Bobj%5D-%3E%20B%3B%20C%20%3E%3E%20A%3B%20C%20%3E%3E%20B%7D" TargetMode="External"/><Relationship Id="rId2" Type="http://schemas.openxmlformats.org/officeDocument/2006/relationships/hyperlink" Target="http://universal.grew.fr/?corpus=UD_Slovenian-SST&amp;request=pattern%20%7BB%20%5B%5D%3B%20A%20%5B%5D%3B%20C%20%5B%5D%3B%20B%20-%5Bnsubj%5D-%3E%20A%3B%20B%20-%5Bobj%5D-%3E%20C%3B%20B%20%3E%3E%20A%3B%20B%20%3C%3C%20C%7D" TargetMode="External"/><Relationship Id="rId1" Type="http://schemas.openxmlformats.org/officeDocument/2006/relationships/hyperlink" Target="http://universal.grew.fr/?corpus=UD_Slovenian-SSJ&amp;request=pattern%20%7BB%20%5B%5D%3B%20A%20%5B%5D%3B%20C%20%5B%5D%3B%20B%20-%5Bnsubj%5D-%3E%20A%3B%20B%20-%5Bobj%5D-%3E%20C%3B%20B%20%3E%3E%20A%3B%20B%20%3C%3C%20C%7D" TargetMode="External"/><Relationship Id="rId6" Type="http://schemas.openxmlformats.org/officeDocument/2006/relationships/hyperlink" Target="http://universal.grew.fr/?corpus=UD_Spanish-COSER&amp;request=pattern%20%7BB%20%5B%5D%3B%20A%20%5B%5D%3B%20C%20%5B%5D%3B%20B%20-%5Bobj%5D-%3E%20A%3B%20B%20-%5Bnsubj%5D-%3E%20C%3B%20B%20%3E%3E%20A%3B%20B%20%3C%3C%20C%7D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universal.grew.fr/?corpus=UD_Spanish-COSER&amp;request=pattern%20%7BC%20%5B%5D%3B%20A%20%5B%5D%3B%20B%20%5B%5D%3B%20C%20-%5Bnsubj%5D-%3E%20A%3B%20C%20-%5Bobj%5D-%3E%20B%3B%20C%20%3E%3E%20A%3B%20C%20%3E%3E%20B%7D" TargetMode="External"/><Relationship Id="rId10" Type="http://schemas.openxmlformats.org/officeDocument/2006/relationships/hyperlink" Target="http://universal.grew.fr/?corpus=UD_Slovenian-SST&amp;request=pattern%20%7BC%20%5B%5D%3B%20A%20%5B%5D%3B%20B%20%5B%5D%3B%20C%20-%5Bobj%5D-%3E%20A%3B%20C%20-%5Bnsubj%5D-%3E%20B%3B%20C%20%3E%3E%20A%3B%20C%20%3E%3E%20B%7D" TargetMode="External"/><Relationship Id="rId4" Type="http://schemas.openxmlformats.org/officeDocument/2006/relationships/hyperlink" Target="http://universal.grew.fr/?corpus=UD_English-GUM&amp;request=pattern%20%7BC%20%5B%5D%3B%20A%20%5B%5D%3B%20B%20%5B%5D%3B%20C%20-%5Bobj%5D-%3E%20A%3B%20C%20-%5Bnsubj%5D-%3E%20B%3B%20C%20%3E%3E%20A%3B%20C%20%3E%3E%20B%7D" TargetMode="External"/><Relationship Id="rId9" Type="http://schemas.openxmlformats.org/officeDocument/2006/relationships/hyperlink" Target="http://universal.grew.fr/?corpus=UD_Slovenian-SST&amp;request=pattern%20%7BC%20%5B%5D%3B%20A%20%5B%5D%3B%20B%20%5B%5D%3B%20C%20-%5Bnsubj%5D-%3E%20A%3B%20C%20-%5Bobj%5D-%3E%20B%3B%20C%20%3E%3E%20A%3B%20C%20%3E%3E%20B%7D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190D-AD1C-4A1B-84D8-F117DC8DA36F}">
  <dimension ref="A1:S70"/>
  <sheetViews>
    <sheetView workbookViewId="0">
      <selection activeCell="H3" sqref="H3"/>
    </sheetView>
  </sheetViews>
  <sheetFormatPr defaultRowHeight="15"/>
  <cols>
    <col min="3" max="3" width="9.28515625" bestFit="1" customWidth="1"/>
    <col min="4" max="4" width="6.85546875" bestFit="1" customWidth="1"/>
    <col min="5" max="5" width="15" customWidth="1"/>
    <col min="7" max="7" width="8.7109375" style="2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6521</v>
      </c>
      <c r="G2" s="2" t="s">
        <v>18</v>
      </c>
      <c r="H2" t="s">
        <v>19</v>
      </c>
      <c r="I2" t="s">
        <v>20</v>
      </c>
      <c r="J2" t="s">
        <v>21</v>
      </c>
      <c r="K2">
        <v>3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24</v>
      </c>
      <c r="E3" t="s">
        <v>25</v>
      </c>
      <c r="F3">
        <v>784</v>
      </c>
      <c r="G3" s="2" t="s">
        <v>26</v>
      </c>
      <c r="H3" t="s">
        <v>19</v>
      </c>
      <c r="I3" t="s">
        <v>27</v>
      </c>
      <c r="J3" t="s">
        <v>28</v>
      </c>
      <c r="K3">
        <v>3</v>
      </c>
      <c r="L3" t="s">
        <v>22</v>
      </c>
      <c r="M3" t="s">
        <v>29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>
        <v>314</v>
      </c>
      <c r="G4" s="2" t="s">
        <v>32</v>
      </c>
      <c r="H4" t="s">
        <v>19</v>
      </c>
      <c r="I4" t="s">
        <v>33</v>
      </c>
      <c r="J4" t="s">
        <v>34</v>
      </c>
      <c r="K4">
        <v>3</v>
      </c>
      <c r="L4" t="s">
        <v>22</v>
      </c>
      <c r="M4" t="s">
        <v>35</v>
      </c>
    </row>
    <row r="5" spans="1:13">
      <c r="A5" t="s">
        <v>13</v>
      </c>
      <c r="B5" t="s">
        <v>14</v>
      </c>
      <c r="C5" t="s">
        <v>15</v>
      </c>
      <c r="D5" t="s">
        <v>36</v>
      </c>
      <c r="E5" t="s">
        <v>37</v>
      </c>
      <c r="F5">
        <v>76</v>
      </c>
      <c r="G5" s="2" t="s">
        <v>38</v>
      </c>
      <c r="H5" t="s">
        <v>19</v>
      </c>
      <c r="I5" t="s">
        <v>39</v>
      </c>
      <c r="J5" t="s">
        <v>40</v>
      </c>
      <c r="K5">
        <v>3</v>
      </c>
      <c r="L5" t="s">
        <v>22</v>
      </c>
      <c r="M5" t="s">
        <v>41</v>
      </c>
    </row>
    <row r="6" spans="1:13">
      <c r="A6" t="s">
        <v>13</v>
      </c>
      <c r="B6" t="s">
        <v>14</v>
      </c>
      <c r="C6" t="s">
        <v>15</v>
      </c>
      <c r="D6" t="s">
        <v>42</v>
      </c>
      <c r="E6" t="s">
        <v>43</v>
      </c>
      <c r="F6">
        <v>18</v>
      </c>
      <c r="G6" s="2" t="s">
        <v>44</v>
      </c>
      <c r="H6" t="s">
        <v>19</v>
      </c>
      <c r="I6" t="s">
        <v>45</v>
      </c>
      <c r="J6" t="s">
        <v>46</v>
      </c>
      <c r="K6">
        <v>3</v>
      </c>
      <c r="L6" t="s">
        <v>22</v>
      </c>
      <c r="M6" t="s">
        <v>47</v>
      </c>
    </row>
    <row r="7" spans="1:13">
      <c r="A7" t="s">
        <v>13</v>
      </c>
      <c r="B7" t="s">
        <v>14</v>
      </c>
      <c r="C7" t="s">
        <v>15</v>
      </c>
      <c r="D7" t="s">
        <v>48</v>
      </c>
      <c r="E7" t="s">
        <v>49</v>
      </c>
      <c r="F7">
        <v>5</v>
      </c>
      <c r="G7" s="2" t="s">
        <v>50</v>
      </c>
      <c r="H7" t="s">
        <v>19</v>
      </c>
      <c r="I7" t="s">
        <v>51</v>
      </c>
      <c r="J7" t="s">
        <v>52</v>
      </c>
      <c r="K7">
        <v>3</v>
      </c>
      <c r="L7" t="s">
        <v>22</v>
      </c>
      <c r="M7" t="s">
        <v>53</v>
      </c>
    </row>
    <row r="9" spans="1:13">
      <c r="A9" s="98" t="s">
        <v>13</v>
      </c>
      <c r="B9" t="s">
        <v>54</v>
      </c>
      <c r="C9" t="s">
        <v>55</v>
      </c>
      <c r="D9" t="s">
        <v>16</v>
      </c>
      <c r="E9" t="s">
        <v>17</v>
      </c>
      <c r="F9">
        <v>762</v>
      </c>
      <c r="G9" s="2" t="s">
        <v>56</v>
      </c>
      <c r="H9" t="s">
        <v>19</v>
      </c>
      <c r="I9" t="s">
        <v>20</v>
      </c>
      <c r="J9" t="s">
        <v>57</v>
      </c>
      <c r="K9">
        <v>3</v>
      </c>
      <c r="L9" t="s">
        <v>22</v>
      </c>
      <c r="M9" t="s">
        <v>58</v>
      </c>
    </row>
    <row r="10" spans="1:13">
      <c r="A10" s="98" t="s">
        <v>13</v>
      </c>
      <c r="B10" t="s">
        <v>54</v>
      </c>
      <c r="C10" t="s">
        <v>55</v>
      </c>
      <c r="D10" s="98" t="s">
        <v>24</v>
      </c>
      <c r="E10" t="s">
        <v>25</v>
      </c>
      <c r="F10">
        <v>204</v>
      </c>
      <c r="G10" s="2" t="s">
        <v>59</v>
      </c>
      <c r="H10" t="s">
        <v>19</v>
      </c>
      <c r="I10" t="s">
        <v>27</v>
      </c>
      <c r="J10" s="94" t="s">
        <v>60</v>
      </c>
      <c r="K10">
        <v>3</v>
      </c>
      <c r="L10" t="s">
        <v>22</v>
      </c>
      <c r="M10" t="s">
        <v>61</v>
      </c>
    </row>
    <row r="11" spans="1:13">
      <c r="A11" s="98" t="s">
        <v>13</v>
      </c>
      <c r="B11" t="s">
        <v>54</v>
      </c>
      <c r="C11" t="s">
        <v>55</v>
      </c>
      <c r="D11" s="98" t="s">
        <v>30</v>
      </c>
      <c r="E11" t="s">
        <v>31</v>
      </c>
      <c r="F11">
        <v>93</v>
      </c>
      <c r="G11" s="2" t="s">
        <v>62</v>
      </c>
      <c r="H11" t="s">
        <v>19</v>
      </c>
      <c r="I11" t="s">
        <v>33</v>
      </c>
      <c r="J11" s="94" t="s">
        <v>63</v>
      </c>
      <c r="K11">
        <v>3</v>
      </c>
      <c r="L11" t="s">
        <v>22</v>
      </c>
      <c r="M11" t="s">
        <v>64</v>
      </c>
    </row>
    <row r="12" spans="1:13">
      <c r="A12" s="98" t="s">
        <v>13</v>
      </c>
      <c r="B12" t="s">
        <v>54</v>
      </c>
      <c r="C12" t="s">
        <v>55</v>
      </c>
      <c r="D12" t="s">
        <v>36</v>
      </c>
      <c r="E12" t="s">
        <v>37</v>
      </c>
      <c r="F12">
        <v>10</v>
      </c>
      <c r="G12" s="2" t="s">
        <v>65</v>
      </c>
      <c r="H12" t="s">
        <v>19</v>
      </c>
      <c r="I12" t="s">
        <v>39</v>
      </c>
      <c r="J12" t="s">
        <v>66</v>
      </c>
      <c r="K12">
        <v>3</v>
      </c>
      <c r="L12" t="s">
        <v>22</v>
      </c>
      <c r="M12" t="s">
        <v>67</v>
      </c>
    </row>
    <row r="13" spans="1:13">
      <c r="A13" s="98" t="s">
        <v>13</v>
      </c>
      <c r="B13" t="s">
        <v>54</v>
      </c>
      <c r="C13" t="s">
        <v>55</v>
      </c>
      <c r="D13" t="s">
        <v>42</v>
      </c>
      <c r="E13" t="s">
        <v>43</v>
      </c>
      <c r="F13">
        <v>2</v>
      </c>
      <c r="G13" s="2" t="s">
        <v>68</v>
      </c>
      <c r="H13" t="s">
        <v>19</v>
      </c>
      <c r="I13" t="s">
        <v>45</v>
      </c>
      <c r="J13" t="s">
        <v>69</v>
      </c>
      <c r="K13">
        <v>3</v>
      </c>
      <c r="L13" t="s">
        <v>22</v>
      </c>
      <c r="M13" t="s">
        <v>70</v>
      </c>
    </row>
    <row r="15" spans="1:13">
      <c r="A15" s="51" t="s">
        <v>71</v>
      </c>
      <c r="B15" t="s">
        <v>54</v>
      </c>
      <c r="C15" t="s">
        <v>72</v>
      </c>
      <c r="D15" t="s">
        <v>16</v>
      </c>
      <c r="E15" t="s">
        <v>17</v>
      </c>
      <c r="F15">
        <v>2201</v>
      </c>
      <c r="G15" s="2" t="s">
        <v>73</v>
      </c>
      <c r="H15" t="s">
        <v>19</v>
      </c>
      <c r="I15" t="s">
        <v>20</v>
      </c>
      <c r="J15" t="s">
        <v>74</v>
      </c>
      <c r="K15">
        <v>3</v>
      </c>
      <c r="L15" t="s">
        <v>22</v>
      </c>
      <c r="M15" t="s">
        <v>75</v>
      </c>
    </row>
    <row r="16" spans="1:13">
      <c r="A16" s="51" t="s">
        <v>71</v>
      </c>
      <c r="B16" t="s">
        <v>54</v>
      </c>
      <c r="C16" t="s">
        <v>72</v>
      </c>
      <c r="D16" t="s">
        <v>30</v>
      </c>
      <c r="E16" t="s">
        <v>31</v>
      </c>
      <c r="F16">
        <v>163</v>
      </c>
      <c r="G16" s="2" t="s">
        <v>76</v>
      </c>
      <c r="H16" t="s">
        <v>19</v>
      </c>
      <c r="I16" t="s">
        <v>33</v>
      </c>
      <c r="J16" s="94" t="s">
        <v>77</v>
      </c>
      <c r="K16">
        <v>3</v>
      </c>
      <c r="L16" t="s">
        <v>22</v>
      </c>
      <c r="M16" t="s">
        <v>78</v>
      </c>
    </row>
    <row r="17" spans="1:13">
      <c r="A17" s="51" t="s">
        <v>71</v>
      </c>
      <c r="B17" t="s">
        <v>54</v>
      </c>
      <c r="C17" t="s">
        <v>72</v>
      </c>
      <c r="D17" t="s">
        <v>24</v>
      </c>
      <c r="E17" t="s">
        <v>25</v>
      </c>
      <c r="F17">
        <v>3</v>
      </c>
      <c r="G17" s="2" t="s">
        <v>79</v>
      </c>
      <c r="H17" t="s">
        <v>19</v>
      </c>
      <c r="I17" t="s">
        <v>27</v>
      </c>
      <c r="J17" t="s">
        <v>80</v>
      </c>
      <c r="K17">
        <v>3</v>
      </c>
      <c r="L17" t="s">
        <v>22</v>
      </c>
      <c r="M17" t="s">
        <v>81</v>
      </c>
    </row>
    <row r="18" spans="1:13">
      <c r="A18" s="51" t="s">
        <v>71</v>
      </c>
      <c r="B18" t="s">
        <v>54</v>
      </c>
      <c r="C18" t="s">
        <v>72</v>
      </c>
      <c r="D18" t="s">
        <v>36</v>
      </c>
      <c r="E18" t="s">
        <v>37</v>
      </c>
      <c r="F18">
        <v>1</v>
      </c>
      <c r="G18" s="2" t="s">
        <v>82</v>
      </c>
      <c r="H18" t="s">
        <v>19</v>
      </c>
      <c r="I18" t="s">
        <v>39</v>
      </c>
      <c r="J18" t="s">
        <v>83</v>
      </c>
      <c r="K18">
        <v>3</v>
      </c>
      <c r="L18" t="s">
        <v>22</v>
      </c>
      <c r="M18" t="s">
        <v>84</v>
      </c>
    </row>
    <row r="19" spans="1:13">
      <c r="A19" s="51"/>
    </row>
    <row r="20" spans="1:13">
      <c r="A20" s="51" t="s">
        <v>71</v>
      </c>
      <c r="B20" t="s">
        <v>14</v>
      </c>
      <c r="C20" t="s">
        <v>72</v>
      </c>
      <c r="D20" t="s">
        <v>16</v>
      </c>
      <c r="E20" t="s">
        <v>17</v>
      </c>
      <c r="F20">
        <v>2853</v>
      </c>
      <c r="G20" s="2" t="s">
        <v>85</v>
      </c>
      <c r="H20" t="s">
        <v>19</v>
      </c>
      <c r="I20" t="s">
        <v>20</v>
      </c>
      <c r="J20" t="s">
        <v>74</v>
      </c>
      <c r="K20">
        <v>3</v>
      </c>
      <c r="L20" t="s">
        <v>22</v>
      </c>
      <c r="M20" t="s">
        <v>86</v>
      </c>
    </row>
    <row r="21" spans="1:13">
      <c r="A21" s="51" t="s">
        <v>71</v>
      </c>
      <c r="B21" t="s">
        <v>14</v>
      </c>
      <c r="C21" t="s">
        <v>72</v>
      </c>
      <c r="D21" t="s">
        <v>30</v>
      </c>
      <c r="E21" t="s">
        <v>31</v>
      </c>
      <c r="F21">
        <v>77</v>
      </c>
      <c r="G21" s="2" t="s">
        <v>87</v>
      </c>
      <c r="H21" t="s">
        <v>19</v>
      </c>
      <c r="I21" t="s">
        <v>33</v>
      </c>
      <c r="J21" s="94" t="s">
        <v>77</v>
      </c>
      <c r="K21">
        <v>3</v>
      </c>
      <c r="L21" t="s">
        <v>22</v>
      </c>
      <c r="M21" t="s">
        <v>88</v>
      </c>
    </row>
    <row r="23" spans="1:13">
      <c r="A23" t="s">
        <v>89</v>
      </c>
      <c r="B23" t="s">
        <v>14</v>
      </c>
      <c r="C23" t="s">
        <v>90</v>
      </c>
      <c r="D23" t="s">
        <v>16</v>
      </c>
      <c r="E23" t="s">
        <v>17</v>
      </c>
      <c r="F23">
        <v>2131</v>
      </c>
      <c r="G23" s="2" t="s">
        <v>91</v>
      </c>
      <c r="H23" t="s">
        <v>19</v>
      </c>
      <c r="I23" t="s">
        <v>20</v>
      </c>
      <c r="J23" s="94" t="s">
        <v>92</v>
      </c>
      <c r="K23">
        <v>3</v>
      </c>
      <c r="L23" t="s">
        <v>22</v>
      </c>
      <c r="M23" t="s">
        <v>93</v>
      </c>
    </row>
    <row r="24" spans="1:13">
      <c r="A24" t="s">
        <v>89</v>
      </c>
      <c r="B24" t="s">
        <v>14</v>
      </c>
      <c r="C24" t="s">
        <v>90</v>
      </c>
      <c r="D24" t="s">
        <v>36</v>
      </c>
      <c r="E24" t="s">
        <v>37</v>
      </c>
      <c r="F24">
        <v>826</v>
      </c>
      <c r="G24" s="2" t="s">
        <v>94</v>
      </c>
      <c r="H24" t="s">
        <v>19</v>
      </c>
      <c r="I24" t="s">
        <v>39</v>
      </c>
      <c r="J24" t="s">
        <v>95</v>
      </c>
      <c r="K24">
        <v>3</v>
      </c>
      <c r="L24" t="s">
        <v>22</v>
      </c>
      <c r="M24" t="s">
        <v>96</v>
      </c>
    </row>
    <row r="25" spans="1:13">
      <c r="A25" t="s">
        <v>89</v>
      </c>
      <c r="B25" t="s">
        <v>14</v>
      </c>
      <c r="C25" t="s">
        <v>90</v>
      </c>
      <c r="D25" t="s">
        <v>24</v>
      </c>
      <c r="E25" t="s">
        <v>25</v>
      </c>
      <c r="F25">
        <v>427</v>
      </c>
      <c r="G25" s="2" t="s">
        <v>97</v>
      </c>
      <c r="H25" t="s">
        <v>19</v>
      </c>
      <c r="I25" t="s">
        <v>27</v>
      </c>
      <c r="J25" t="s">
        <v>98</v>
      </c>
      <c r="K25">
        <v>3</v>
      </c>
      <c r="L25" t="s">
        <v>22</v>
      </c>
      <c r="M25" t="s">
        <v>99</v>
      </c>
    </row>
    <row r="26" spans="1:13">
      <c r="A26" t="s">
        <v>89</v>
      </c>
      <c r="B26" t="s">
        <v>14</v>
      </c>
      <c r="C26" t="s">
        <v>90</v>
      </c>
      <c r="D26" t="s">
        <v>30</v>
      </c>
      <c r="E26" t="s">
        <v>31</v>
      </c>
      <c r="F26">
        <v>333</v>
      </c>
      <c r="G26" s="2" t="s">
        <v>100</v>
      </c>
      <c r="H26" t="s">
        <v>19</v>
      </c>
      <c r="I26" t="s">
        <v>33</v>
      </c>
      <c r="J26" t="s">
        <v>101</v>
      </c>
      <c r="K26">
        <v>3</v>
      </c>
      <c r="L26" t="s">
        <v>22</v>
      </c>
      <c r="M26" t="s">
        <v>102</v>
      </c>
    </row>
    <row r="27" spans="1:13">
      <c r="A27" t="s">
        <v>89</v>
      </c>
      <c r="B27" t="s">
        <v>14</v>
      </c>
      <c r="C27" t="s">
        <v>90</v>
      </c>
      <c r="D27" t="s">
        <v>42</v>
      </c>
      <c r="E27" t="s">
        <v>43</v>
      </c>
      <c r="F27">
        <v>108</v>
      </c>
      <c r="G27" s="2" t="s">
        <v>103</v>
      </c>
      <c r="H27" t="s">
        <v>19</v>
      </c>
      <c r="I27" t="s">
        <v>45</v>
      </c>
      <c r="J27" t="s">
        <v>104</v>
      </c>
      <c r="K27">
        <v>3</v>
      </c>
      <c r="L27" t="s">
        <v>22</v>
      </c>
      <c r="M27" t="s">
        <v>105</v>
      </c>
    </row>
    <row r="28" spans="1:13">
      <c r="A28" t="s">
        <v>89</v>
      </c>
      <c r="B28" t="s">
        <v>14</v>
      </c>
      <c r="C28" t="s">
        <v>90</v>
      </c>
      <c r="D28" t="s">
        <v>48</v>
      </c>
      <c r="E28" t="s">
        <v>49</v>
      </c>
      <c r="F28">
        <v>83</v>
      </c>
      <c r="G28" s="2" t="s">
        <v>106</v>
      </c>
      <c r="H28" t="s">
        <v>19</v>
      </c>
      <c r="I28" t="s">
        <v>51</v>
      </c>
      <c r="J28" t="s">
        <v>107</v>
      </c>
      <c r="K28">
        <v>3</v>
      </c>
      <c r="L28" t="s">
        <v>22</v>
      </c>
      <c r="M28" t="s">
        <v>108</v>
      </c>
    </row>
    <row r="30" spans="1:13">
      <c r="A30" t="s">
        <v>89</v>
      </c>
      <c r="B30" t="s">
        <v>54</v>
      </c>
      <c r="C30" t="s">
        <v>109</v>
      </c>
      <c r="D30" t="s">
        <v>16</v>
      </c>
      <c r="E30" t="s">
        <v>17</v>
      </c>
      <c r="F30">
        <v>327</v>
      </c>
      <c r="G30" s="2" t="s">
        <v>110</v>
      </c>
      <c r="H30" t="s">
        <v>19</v>
      </c>
      <c r="I30" t="s">
        <v>20</v>
      </c>
      <c r="J30" s="94" t="s">
        <v>111</v>
      </c>
      <c r="K30">
        <v>3</v>
      </c>
      <c r="L30" t="s">
        <v>22</v>
      </c>
      <c r="M30" t="s">
        <v>112</v>
      </c>
    </row>
    <row r="31" spans="1:13">
      <c r="A31" t="s">
        <v>89</v>
      </c>
      <c r="B31" t="s">
        <v>54</v>
      </c>
      <c r="C31" t="s">
        <v>109</v>
      </c>
      <c r="D31" s="95" t="s">
        <v>24</v>
      </c>
      <c r="E31" t="s">
        <v>25</v>
      </c>
      <c r="F31">
        <v>174</v>
      </c>
      <c r="G31" s="2" t="s">
        <v>113</v>
      </c>
      <c r="H31" t="s">
        <v>19</v>
      </c>
      <c r="I31" t="s">
        <v>27</v>
      </c>
      <c r="J31" s="94" t="s">
        <v>114</v>
      </c>
      <c r="K31">
        <v>3</v>
      </c>
      <c r="L31" t="s">
        <v>22</v>
      </c>
      <c r="M31" t="s">
        <v>115</v>
      </c>
    </row>
    <row r="32" spans="1:13">
      <c r="A32" t="s">
        <v>89</v>
      </c>
      <c r="B32" t="s">
        <v>54</v>
      </c>
      <c r="C32" t="s">
        <v>109</v>
      </c>
      <c r="D32" t="s">
        <v>36</v>
      </c>
      <c r="E32" t="s">
        <v>37</v>
      </c>
      <c r="F32">
        <v>145</v>
      </c>
      <c r="G32" s="2" t="s">
        <v>116</v>
      </c>
      <c r="H32" t="s">
        <v>19</v>
      </c>
      <c r="I32" t="s">
        <v>39</v>
      </c>
      <c r="J32" t="s">
        <v>117</v>
      </c>
      <c r="K32">
        <v>3</v>
      </c>
      <c r="L32" t="s">
        <v>22</v>
      </c>
      <c r="M32" t="s">
        <v>118</v>
      </c>
    </row>
    <row r="33" spans="1:13">
      <c r="A33" t="s">
        <v>89</v>
      </c>
      <c r="B33" t="s">
        <v>54</v>
      </c>
      <c r="C33" t="s">
        <v>109</v>
      </c>
      <c r="D33" s="95" t="s">
        <v>30</v>
      </c>
      <c r="E33" t="s">
        <v>31</v>
      </c>
      <c r="F33">
        <v>130</v>
      </c>
      <c r="G33" s="2" t="s">
        <v>119</v>
      </c>
      <c r="H33" t="s">
        <v>19</v>
      </c>
      <c r="I33" t="s">
        <v>33</v>
      </c>
      <c r="J33" s="94" t="s">
        <v>120</v>
      </c>
      <c r="K33">
        <v>3</v>
      </c>
      <c r="L33" t="s">
        <v>22</v>
      </c>
      <c r="M33" t="s">
        <v>121</v>
      </c>
    </row>
    <row r="34" spans="1:13">
      <c r="A34" t="s">
        <v>89</v>
      </c>
      <c r="B34" t="s">
        <v>54</v>
      </c>
      <c r="C34" t="s">
        <v>109</v>
      </c>
      <c r="D34" t="s">
        <v>42</v>
      </c>
      <c r="E34" t="s">
        <v>43</v>
      </c>
      <c r="F34">
        <v>39</v>
      </c>
      <c r="G34" s="2" t="s">
        <v>122</v>
      </c>
      <c r="H34" t="s">
        <v>19</v>
      </c>
      <c r="I34" t="s">
        <v>45</v>
      </c>
      <c r="J34" t="s">
        <v>123</v>
      </c>
      <c r="K34">
        <v>3</v>
      </c>
      <c r="L34" t="s">
        <v>22</v>
      </c>
      <c r="M34" t="s">
        <v>124</v>
      </c>
    </row>
    <row r="35" spans="1:13">
      <c r="A35" t="s">
        <v>89</v>
      </c>
      <c r="B35" t="s">
        <v>54</v>
      </c>
      <c r="C35" t="s">
        <v>109</v>
      </c>
      <c r="D35" t="s">
        <v>48</v>
      </c>
      <c r="E35" t="s">
        <v>49</v>
      </c>
      <c r="F35">
        <v>20</v>
      </c>
      <c r="G35" s="2" t="s">
        <v>125</v>
      </c>
      <c r="H35" t="s">
        <v>19</v>
      </c>
      <c r="I35" t="s">
        <v>51</v>
      </c>
      <c r="J35" t="s">
        <v>126</v>
      </c>
      <c r="K35">
        <v>3</v>
      </c>
      <c r="L35" t="s">
        <v>22</v>
      </c>
      <c r="M35" t="s">
        <v>127</v>
      </c>
    </row>
    <row r="37" spans="1:13">
      <c r="A37" s="97" t="s">
        <v>143</v>
      </c>
      <c r="B37" t="s">
        <v>14</v>
      </c>
      <c r="C37" t="s">
        <v>15</v>
      </c>
      <c r="D37" s="37" t="s">
        <v>16</v>
      </c>
      <c r="E37" t="s">
        <v>17</v>
      </c>
      <c r="F37">
        <v>3369</v>
      </c>
      <c r="G37" s="2" t="s">
        <v>144</v>
      </c>
      <c r="H37" t="s">
        <v>19</v>
      </c>
      <c r="I37" t="s">
        <v>20</v>
      </c>
      <c r="J37" t="s">
        <v>145</v>
      </c>
      <c r="K37">
        <v>3</v>
      </c>
      <c r="L37" t="s">
        <v>22</v>
      </c>
      <c r="M37" t="s">
        <v>146</v>
      </c>
    </row>
    <row r="38" spans="1:13">
      <c r="A38" s="97" t="s">
        <v>143</v>
      </c>
      <c r="B38" t="s">
        <v>14</v>
      </c>
      <c r="C38" t="s">
        <v>15</v>
      </c>
      <c r="D38" t="s">
        <v>24</v>
      </c>
      <c r="E38" t="s">
        <v>25</v>
      </c>
      <c r="F38">
        <v>245</v>
      </c>
      <c r="G38" s="2" t="s">
        <v>147</v>
      </c>
      <c r="H38" t="s">
        <v>19</v>
      </c>
      <c r="I38" t="s">
        <v>27</v>
      </c>
      <c r="J38" t="s">
        <v>148</v>
      </c>
      <c r="K38">
        <v>3</v>
      </c>
      <c r="L38" t="s">
        <v>22</v>
      </c>
      <c r="M38" t="s">
        <v>149</v>
      </c>
    </row>
    <row r="39" spans="1:13">
      <c r="A39" s="97" t="s">
        <v>143</v>
      </c>
      <c r="B39" t="s">
        <v>14</v>
      </c>
      <c r="C39" t="s">
        <v>15</v>
      </c>
      <c r="D39" t="s">
        <v>36</v>
      </c>
      <c r="E39" t="s">
        <v>37</v>
      </c>
      <c r="F39">
        <v>220</v>
      </c>
      <c r="G39" s="2" t="s">
        <v>150</v>
      </c>
      <c r="H39" t="s">
        <v>19</v>
      </c>
      <c r="I39" t="s">
        <v>39</v>
      </c>
      <c r="J39" t="s">
        <v>151</v>
      </c>
      <c r="K39">
        <v>3</v>
      </c>
      <c r="L39" t="s">
        <v>22</v>
      </c>
      <c r="M39" t="s">
        <v>152</v>
      </c>
    </row>
    <row r="40" spans="1:13">
      <c r="A40" s="97" t="s">
        <v>143</v>
      </c>
      <c r="B40" t="s">
        <v>14</v>
      </c>
      <c r="C40" t="s">
        <v>15</v>
      </c>
      <c r="D40" t="s">
        <v>30</v>
      </c>
      <c r="E40" t="s">
        <v>31</v>
      </c>
      <c r="F40">
        <v>82</v>
      </c>
      <c r="G40" s="2" t="s">
        <v>153</v>
      </c>
      <c r="H40" t="s">
        <v>19</v>
      </c>
      <c r="I40" t="s">
        <v>33</v>
      </c>
      <c r="J40" t="s">
        <v>154</v>
      </c>
      <c r="K40">
        <v>3</v>
      </c>
      <c r="L40" t="s">
        <v>22</v>
      </c>
      <c r="M40" t="s">
        <v>155</v>
      </c>
    </row>
    <row r="41" spans="1:13">
      <c r="A41" s="97" t="s">
        <v>143</v>
      </c>
      <c r="B41" t="s">
        <v>14</v>
      </c>
      <c r="C41" t="s">
        <v>15</v>
      </c>
      <c r="D41" t="s">
        <v>48</v>
      </c>
      <c r="E41" t="s">
        <v>49</v>
      </c>
      <c r="F41">
        <v>54</v>
      </c>
      <c r="G41" s="2" t="s">
        <v>156</v>
      </c>
      <c r="H41" t="s">
        <v>19</v>
      </c>
      <c r="I41" t="s">
        <v>51</v>
      </c>
      <c r="J41" t="s">
        <v>157</v>
      </c>
      <c r="K41">
        <v>3</v>
      </c>
      <c r="L41" t="s">
        <v>22</v>
      </c>
      <c r="M41" t="s">
        <v>158</v>
      </c>
    </row>
    <row r="42" spans="1:13">
      <c r="A42" s="97" t="s">
        <v>143</v>
      </c>
      <c r="B42" t="s">
        <v>14</v>
      </c>
      <c r="C42" t="s">
        <v>15</v>
      </c>
      <c r="D42" t="s">
        <v>42</v>
      </c>
      <c r="E42" t="s">
        <v>43</v>
      </c>
      <c r="F42">
        <v>15</v>
      </c>
      <c r="G42" s="2" t="s">
        <v>159</v>
      </c>
      <c r="H42" t="s">
        <v>19</v>
      </c>
      <c r="I42" t="s">
        <v>45</v>
      </c>
      <c r="J42" t="s">
        <v>160</v>
      </c>
      <c r="K42">
        <v>3</v>
      </c>
      <c r="L42" t="s">
        <v>22</v>
      </c>
      <c r="M42" t="s">
        <v>161</v>
      </c>
    </row>
    <row r="43" spans="1:13">
      <c r="A43" s="97"/>
    </row>
    <row r="44" spans="1:13">
      <c r="A44" s="97" t="s">
        <v>143</v>
      </c>
      <c r="B44" t="s">
        <v>54</v>
      </c>
      <c r="C44" t="s">
        <v>162</v>
      </c>
      <c r="D44" t="s">
        <v>16</v>
      </c>
      <c r="E44" t="s">
        <v>17</v>
      </c>
      <c r="F44">
        <v>56</v>
      </c>
      <c r="G44" s="2" t="s">
        <v>163</v>
      </c>
      <c r="H44" t="s">
        <v>19</v>
      </c>
      <c r="I44" t="s">
        <v>20</v>
      </c>
      <c r="J44" t="s">
        <v>164</v>
      </c>
      <c r="K44">
        <v>3</v>
      </c>
      <c r="L44" t="s">
        <v>22</v>
      </c>
      <c r="M44" t="s">
        <v>165</v>
      </c>
    </row>
    <row r="45" spans="1:13">
      <c r="A45" s="97" t="s">
        <v>143</v>
      </c>
      <c r="B45" t="s">
        <v>54</v>
      </c>
      <c r="C45" t="s">
        <v>162</v>
      </c>
      <c r="D45" s="97" t="s">
        <v>24</v>
      </c>
      <c r="E45" t="s">
        <v>25</v>
      </c>
      <c r="F45">
        <v>25</v>
      </c>
      <c r="G45" s="2" t="s">
        <v>166</v>
      </c>
      <c r="H45" t="s">
        <v>19</v>
      </c>
      <c r="I45" t="s">
        <v>27</v>
      </c>
      <c r="J45" s="94" t="s">
        <v>167</v>
      </c>
      <c r="K45">
        <v>3</v>
      </c>
      <c r="L45" t="s">
        <v>22</v>
      </c>
      <c r="M45" t="s">
        <v>168</v>
      </c>
    </row>
    <row r="46" spans="1:13">
      <c r="A46" s="97" t="s">
        <v>143</v>
      </c>
      <c r="B46" t="s">
        <v>54</v>
      </c>
      <c r="C46" t="s">
        <v>162</v>
      </c>
      <c r="D46" s="97" t="s">
        <v>36</v>
      </c>
      <c r="E46" t="s">
        <v>37</v>
      </c>
      <c r="F46">
        <v>24</v>
      </c>
      <c r="G46" s="2" t="s">
        <v>169</v>
      </c>
      <c r="H46" t="s">
        <v>19</v>
      </c>
      <c r="I46" t="s">
        <v>39</v>
      </c>
      <c r="J46" s="94" t="s">
        <v>170</v>
      </c>
      <c r="K46">
        <v>3</v>
      </c>
      <c r="L46" t="s">
        <v>22</v>
      </c>
      <c r="M46" t="s">
        <v>171</v>
      </c>
    </row>
    <row r="47" spans="1:13">
      <c r="A47" s="97" t="s">
        <v>143</v>
      </c>
      <c r="B47" t="s">
        <v>54</v>
      </c>
      <c r="C47" t="s">
        <v>162</v>
      </c>
      <c r="D47" t="s">
        <v>42</v>
      </c>
      <c r="E47" t="s">
        <v>43</v>
      </c>
      <c r="F47">
        <v>6</v>
      </c>
      <c r="G47" s="2" t="s">
        <v>172</v>
      </c>
      <c r="H47" t="s">
        <v>19</v>
      </c>
      <c r="I47" t="s">
        <v>45</v>
      </c>
      <c r="J47" t="s">
        <v>173</v>
      </c>
      <c r="K47">
        <v>3</v>
      </c>
      <c r="L47" t="s">
        <v>22</v>
      </c>
      <c r="M47" t="s">
        <v>174</v>
      </c>
    </row>
    <row r="48" spans="1:13">
      <c r="A48" s="97" t="s">
        <v>143</v>
      </c>
      <c r="B48" t="s">
        <v>54</v>
      </c>
      <c r="C48" t="s">
        <v>162</v>
      </c>
      <c r="D48" t="s">
        <v>30</v>
      </c>
      <c r="E48" t="s">
        <v>31</v>
      </c>
      <c r="F48">
        <v>5</v>
      </c>
      <c r="G48" s="2" t="s">
        <v>175</v>
      </c>
      <c r="H48" t="s">
        <v>19</v>
      </c>
      <c r="I48" t="s">
        <v>33</v>
      </c>
      <c r="J48" t="s">
        <v>176</v>
      </c>
      <c r="K48">
        <v>3</v>
      </c>
      <c r="L48" t="s">
        <v>22</v>
      </c>
      <c r="M48" t="s">
        <v>177</v>
      </c>
    </row>
    <row r="49" spans="1:19">
      <c r="A49" s="97" t="s">
        <v>143</v>
      </c>
      <c r="B49" t="s">
        <v>54</v>
      </c>
      <c r="C49" t="s">
        <v>162</v>
      </c>
      <c r="D49" t="s">
        <v>48</v>
      </c>
      <c r="E49" t="s">
        <v>49</v>
      </c>
      <c r="F49">
        <v>5</v>
      </c>
      <c r="G49" s="2" t="s">
        <v>175</v>
      </c>
      <c r="H49" t="s">
        <v>19</v>
      </c>
      <c r="I49" t="s">
        <v>51</v>
      </c>
      <c r="J49" t="s">
        <v>178</v>
      </c>
      <c r="K49">
        <v>3</v>
      </c>
      <c r="L49" t="s">
        <v>22</v>
      </c>
      <c r="M49" t="s">
        <v>179</v>
      </c>
    </row>
    <row r="51" spans="1:19">
      <c r="A51" s="95" t="s">
        <v>181</v>
      </c>
      <c r="B51" s="95" t="s">
        <v>14</v>
      </c>
      <c r="C51" s="95" t="s">
        <v>182</v>
      </c>
      <c r="D51" s="95" t="s">
        <v>16</v>
      </c>
      <c r="E51" s="95" t="s">
        <v>17</v>
      </c>
      <c r="F51" s="95">
        <v>7126</v>
      </c>
      <c r="G51" s="96" t="s">
        <v>183</v>
      </c>
      <c r="H51" s="95" t="s">
        <v>19</v>
      </c>
      <c r="I51" s="95" t="s">
        <v>20</v>
      </c>
      <c r="J51" s="95" t="s">
        <v>184</v>
      </c>
      <c r="K51" s="95">
        <v>3</v>
      </c>
      <c r="L51" s="95" t="s">
        <v>22</v>
      </c>
      <c r="M51" s="95" t="s">
        <v>185</v>
      </c>
      <c r="N51" s="95"/>
      <c r="O51" s="95"/>
      <c r="P51" s="95"/>
      <c r="Q51" s="95"/>
      <c r="R51" s="95"/>
      <c r="S51" s="95"/>
    </row>
    <row r="52" spans="1:19">
      <c r="A52" s="95" t="s">
        <v>181</v>
      </c>
      <c r="B52" s="95" t="s">
        <v>14</v>
      </c>
      <c r="C52" s="95" t="s">
        <v>182</v>
      </c>
      <c r="D52" s="95" t="s">
        <v>42</v>
      </c>
      <c r="E52" s="95" t="s">
        <v>43</v>
      </c>
      <c r="F52" s="95">
        <v>944</v>
      </c>
      <c r="G52" s="96" t="s">
        <v>186</v>
      </c>
      <c r="H52" s="95" t="s">
        <v>19</v>
      </c>
      <c r="I52" s="95" t="s">
        <v>45</v>
      </c>
      <c r="J52" s="95" t="s">
        <v>187</v>
      </c>
      <c r="K52" s="95">
        <v>3</v>
      </c>
      <c r="L52" s="95" t="s">
        <v>22</v>
      </c>
      <c r="M52" s="95" t="s">
        <v>188</v>
      </c>
      <c r="N52" s="95"/>
      <c r="O52" s="95"/>
      <c r="P52" s="95"/>
      <c r="Q52" s="95"/>
      <c r="R52" s="95"/>
      <c r="S52" s="95"/>
    </row>
    <row r="53" spans="1:19">
      <c r="A53" s="95" t="s">
        <v>181</v>
      </c>
      <c r="B53" s="95" t="s">
        <v>14</v>
      </c>
      <c r="C53" s="95" t="s">
        <v>182</v>
      </c>
      <c r="D53" s="95" t="s">
        <v>30</v>
      </c>
      <c r="E53" s="95" t="s">
        <v>31</v>
      </c>
      <c r="F53" s="95">
        <v>246</v>
      </c>
      <c r="G53" s="96" t="s">
        <v>189</v>
      </c>
      <c r="H53" s="95" t="s">
        <v>19</v>
      </c>
      <c r="I53" s="95" t="s">
        <v>33</v>
      </c>
      <c r="J53" s="95" t="s">
        <v>190</v>
      </c>
      <c r="K53" s="95">
        <v>3</v>
      </c>
      <c r="L53" s="95" t="s">
        <v>22</v>
      </c>
      <c r="M53" s="95" t="s">
        <v>191</v>
      </c>
      <c r="N53" s="95"/>
      <c r="O53" s="95"/>
      <c r="P53" s="95"/>
      <c r="Q53" s="95"/>
      <c r="R53" s="95"/>
      <c r="S53" s="95"/>
    </row>
    <row r="54" spans="1:19">
      <c r="A54" s="95" t="s">
        <v>181</v>
      </c>
      <c r="B54" s="95" t="s">
        <v>14</v>
      </c>
      <c r="C54" s="95" t="s">
        <v>182</v>
      </c>
      <c r="D54" s="95" t="s">
        <v>36</v>
      </c>
      <c r="E54" s="95" t="s">
        <v>37</v>
      </c>
      <c r="F54" s="95">
        <v>166</v>
      </c>
      <c r="G54" s="96" t="s">
        <v>192</v>
      </c>
      <c r="H54" s="95" t="s">
        <v>19</v>
      </c>
      <c r="I54" s="95" t="s">
        <v>39</v>
      </c>
      <c r="J54" s="95" t="s">
        <v>193</v>
      </c>
      <c r="K54" s="95">
        <v>3</v>
      </c>
      <c r="L54" s="95" t="s">
        <v>22</v>
      </c>
      <c r="M54" s="95" t="s">
        <v>194</v>
      </c>
      <c r="N54" s="95"/>
      <c r="O54" s="95"/>
      <c r="P54" s="95"/>
      <c r="Q54" s="95"/>
      <c r="R54" s="95"/>
      <c r="S54" s="95"/>
    </row>
    <row r="55" spans="1:19">
      <c r="A55" s="95" t="s">
        <v>181</v>
      </c>
      <c r="B55" s="95" t="s">
        <v>14</v>
      </c>
      <c r="C55" s="95" t="s">
        <v>182</v>
      </c>
      <c r="D55" s="95" t="s">
        <v>48</v>
      </c>
      <c r="E55" s="95" t="s">
        <v>49</v>
      </c>
      <c r="F55" s="95">
        <v>8</v>
      </c>
      <c r="G55" s="96" t="s">
        <v>230</v>
      </c>
      <c r="H55" s="95" t="s">
        <v>19</v>
      </c>
      <c r="I55" s="95" t="s">
        <v>51</v>
      </c>
      <c r="J55" s="95" t="s">
        <v>195</v>
      </c>
      <c r="K55" s="95">
        <v>3</v>
      </c>
      <c r="L55" s="95" t="s">
        <v>22</v>
      </c>
      <c r="M55" s="95" t="s">
        <v>196</v>
      </c>
      <c r="N55" s="95"/>
      <c r="O55" s="95"/>
      <c r="P55" s="95"/>
      <c r="Q55" s="95"/>
      <c r="R55" s="95"/>
      <c r="S55" s="95"/>
    </row>
    <row r="56" spans="1:19">
      <c r="A56" s="95" t="s">
        <v>181</v>
      </c>
      <c r="B56" s="95" t="s">
        <v>14</v>
      </c>
      <c r="C56" s="95" t="s">
        <v>182</v>
      </c>
      <c r="D56" s="95" t="s">
        <v>24</v>
      </c>
      <c r="E56" s="95" t="s">
        <v>25</v>
      </c>
      <c r="F56" s="95">
        <v>7</v>
      </c>
      <c r="G56" s="96" t="s">
        <v>231</v>
      </c>
      <c r="H56" s="95" t="s">
        <v>19</v>
      </c>
      <c r="I56" s="95" t="s">
        <v>27</v>
      </c>
      <c r="J56" s="95" t="s">
        <v>197</v>
      </c>
      <c r="K56" s="95">
        <v>3</v>
      </c>
      <c r="L56" s="95" t="s">
        <v>22</v>
      </c>
      <c r="M56" s="95" t="s">
        <v>198</v>
      </c>
      <c r="N56" s="95"/>
      <c r="O56" s="95"/>
      <c r="P56" s="95"/>
      <c r="Q56" s="95"/>
      <c r="R56" s="95"/>
      <c r="S56" s="95"/>
    </row>
    <row r="58" spans="1:19">
      <c r="A58" t="s">
        <v>180</v>
      </c>
      <c r="B58" t="s">
        <v>14</v>
      </c>
      <c r="C58" t="s">
        <v>199</v>
      </c>
      <c r="D58" t="s">
        <v>16</v>
      </c>
      <c r="E58" t="s">
        <v>17</v>
      </c>
      <c r="F58">
        <v>6314</v>
      </c>
      <c r="G58" s="2" t="s">
        <v>200</v>
      </c>
      <c r="H58" t="s">
        <v>19</v>
      </c>
      <c r="I58" t="s">
        <v>20</v>
      </c>
      <c r="J58" t="s">
        <v>201</v>
      </c>
      <c r="K58">
        <v>3</v>
      </c>
      <c r="L58" t="s">
        <v>22</v>
      </c>
      <c r="M58" t="s">
        <v>202</v>
      </c>
    </row>
    <row r="59" spans="1:19">
      <c r="A59" t="s">
        <v>180</v>
      </c>
      <c r="B59" t="s">
        <v>14</v>
      </c>
      <c r="C59" t="s">
        <v>199</v>
      </c>
      <c r="D59" t="s">
        <v>42</v>
      </c>
      <c r="E59" t="s">
        <v>43</v>
      </c>
      <c r="F59">
        <v>959</v>
      </c>
      <c r="G59" s="2" t="s">
        <v>203</v>
      </c>
      <c r="H59" t="s">
        <v>19</v>
      </c>
      <c r="I59" t="s">
        <v>45</v>
      </c>
      <c r="J59" t="s">
        <v>204</v>
      </c>
      <c r="K59">
        <v>3</v>
      </c>
      <c r="L59" t="s">
        <v>22</v>
      </c>
      <c r="M59" t="s">
        <v>205</v>
      </c>
    </row>
    <row r="60" spans="1:19">
      <c r="A60" t="s">
        <v>180</v>
      </c>
      <c r="B60" t="s">
        <v>14</v>
      </c>
      <c r="C60" t="s">
        <v>199</v>
      </c>
      <c r="D60" t="s">
        <v>30</v>
      </c>
      <c r="E60" t="s">
        <v>31</v>
      </c>
      <c r="F60">
        <v>207</v>
      </c>
      <c r="G60" s="2" t="s">
        <v>206</v>
      </c>
      <c r="H60" t="s">
        <v>19</v>
      </c>
      <c r="I60" t="s">
        <v>33</v>
      </c>
      <c r="J60" t="s">
        <v>207</v>
      </c>
      <c r="K60">
        <v>3</v>
      </c>
      <c r="L60" t="s">
        <v>22</v>
      </c>
      <c r="M60" t="s">
        <v>208</v>
      </c>
    </row>
    <row r="61" spans="1:19">
      <c r="A61" t="s">
        <v>180</v>
      </c>
      <c r="B61" t="s">
        <v>14</v>
      </c>
      <c r="C61" t="s">
        <v>199</v>
      </c>
      <c r="D61" t="s">
        <v>36</v>
      </c>
      <c r="E61" t="s">
        <v>37</v>
      </c>
      <c r="F61">
        <v>168</v>
      </c>
      <c r="G61" s="2" t="s">
        <v>209</v>
      </c>
      <c r="H61" t="s">
        <v>19</v>
      </c>
      <c r="I61" t="s">
        <v>39</v>
      </c>
      <c r="J61" t="s">
        <v>210</v>
      </c>
      <c r="K61">
        <v>3</v>
      </c>
      <c r="L61" t="s">
        <v>22</v>
      </c>
      <c r="M61" t="s">
        <v>211</v>
      </c>
    </row>
    <row r="62" spans="1:19">
      <c r="A62" t="s">
        <v>180</v>
      </c>
      <c r="B62" t="s">
        <v>14</v>
      </c>
      <c r="C62" t="s">
        <v>199</v>
      </c>
      <c r="D62" t="s">
        <v>48</v>
      </c>
      <c r="E62" t="s">
        <v>49</v>
      </c>
      <c r="F62">
        <v>17</v>
      </c>
      <c r="G62" s="2" t="s">
        <v>212</v>
      </c>
      <c r="H62" t="s">
        <v>19</v>
      </c>
      <c r="I62" t="s">
        <v>51</v>
      </c>
      <c r="J62" t="s">
        <v>213</v>
      </c>
      <c r="K62">
        <v>3</v>
      </c>
      <c r="L62" t="s">
        <v>22</v>
      </c>
      <c r="M62" t="s">
        <v>214</v>
      </c>
    </row>
    <row r="63" spans="1:19">
      <c r="A63" t="s">
        <v>180</v>
      </c>
      <c r="B63" t="s">
        <v>14</v>
      </c>
      <c r="C63" t="s">
        <v>199</v>
      </c>
      <c r="D63" t="s">
        <v>24</v>
      </c>
      <c r="E63" t="s">
        <v>25</v>
      </c>
      <c r="F63">
        <v>4</v>
      </c>
      <c r="G63" s="2" t="s">
        <v>232</v>
      </c>
      <c r="H63" t="s">
        <v>19</v>
      </c>
      <c r="I63" t="s">
        <v>27</v>
      </c>
      <c r="J63" t="s">
        <v>215</v>
      </c>
      <c r="K63">
        <v>3</v>
      </c>
      <c r="L63" t="s">
        <v>22</v>
      </c>
      <c r="M63" t="s">
        <v>216</v>
      </c>
    </row>
    <row r="65" spans="1:13">
      <c r="A65" s="99" t="s">
        <v>180</v>
      </c>
      <c r="B65" t="s">
        <v>54</v>
      </c>
      <c r="C65" t="s">
        <v>217</v>
      </c>
      <c r="D65" t="s">
        <v>16</v>
      </c>
      <c r="E65" t="s">
        <v>17</v>
      </c>
      <c r="F65">
        <v>891</v>
      </c>
      <c r="G65" s="2" t="s">
        <v>218</v>
      </c>
      <c r="H65" t="s">
        <v>19</v>
      </c>
      <c r="I65" t="s">
        <v>20</v>
      </c>
      <c r="K65">
        <v>3</v>
      </c>
      <c r="L65" t="s">
        <v>22</v>
      </c>
      <c r="M65" t="s">
        <v>219</v>
      </c>
    </row>
    <row r="66" spans="1:13">
      <c r="A66" s="99" t="s">
        <v>180</v>
      </c>
      <c r="B66" t="s">
        <v>54</v>
      </c>
      <c r="C66" t="s">
        <v>217</v>
      </c>
      <c r="D66" t="s">
        <v>42</v>
      </c>
      <c r="E66" t="s">
        <v>43</v>
      </c>
      <c r="F66">
        <v>260</v>
      </c>
      <c r="G66" s="2" t="s">
        <v>220</v>
      </c>
      <c r="H66" t="s">
        <v>19</v>
      </c>
      <c r="I66" t="s">
        <v>45</v>
      </c>
      <c r="K66">
        <v>3</v>
      </c>
      <c r="L66" t="s">
        <v>22</v>
      </c>
      <c r="M66" t="s">
        <v>221</v>
      </c>
    </row>
    <row r="67" spans="1:13">
      <c r="A67" s="99" t="s">
        <v>180</v>
      </c>
      <c r="B67" t="s">
        <v>54</v>
      </c>
      <c r="C67" t="s">
        <v>217</v>
      </c>
      <c r="D67" s="99" t="s">
        <v>30</v>
      </c>
      <c r="E67" t="s">
        <v>31</v>
      </c>
      <c r="F67">
        <v>185</v>
      </c>
      <c r="G67" s="2" t="s">
        <v>222</v>
      </c>
      <c r="H67" t="s">
        <v>19</v>
      </c>
      <c r="I67" t="s">
        <v>33</v>
      </c>
      <c r="K67">
        <v>3</v>
      </c>
      <c r="L67" t="s">
        <v>22</v>
      </c>
      <c r="M67" t="s">
        <v>223</v>
      </c>
    </row>
    <row r="68" spans="1:13">
      <c r="A68" s="99" t="s">
        <v>180</v>
      </c>
      <c r="B68" t="s">
        <v>54</v>
      </c>
      <c r="C68" t="s">
        <v>217</v>
      </c>
      <c r="D68" s="99" t="s">
        <v>36</v>
      </c>
      <c r="E68" t="s">
        <v>37</v>
      </c>
      <c r="F68">
        <v>146</v>
      </c>
      <c r="G68" s="2" t="s">
        <v>224</v>
      </c>
      <c r="H68" t="s">
        <v>19</v>
      </c>
      <c r="I68" t="s">
        <v>39</v>
      </c>
      <c r="K68">
        <v>3</v>
      </c>
      <c r="L68" t="s">
        <v>22</v>
      </c>
      <c r="M68" t="s">
        <v>225</v>
      </c>
    </row>
    <row r="69" spans="1:13">
      <c r="A69" s="99" t="s">
        <v>180</v>
      </c>
      <c r="B69" t="s">
        <v>54</v>
      </c>
      <c r="C69" t="s">
        <v>217</v>
      </c>
      <c r="D69" t="s">
        <v>24</v>
      </c>
      <c r="E69" t="s">
        <v>25</v>
      </c>
      <c r="F69">
        <v>14</v>
      </c>
      <c r="G69" s="2" t="s">
        <v>226</v>
      </c>
      <c r="H69" t="s">
        <v>19</v>
      </c>
      <c r="I69" t="s">
        <v>27</v>
      </c>
      <c r="K69">
        <v>3</v>
      </c>
      <c r="L69" t="s">
        <v>22</v>
      </c>
      <c r="M69" t="s">
        <v>227</v>
      </c>
    </row>
    <row r="70" spans="1:13">
      <c r="A70" s="99" t="s">
        <v>180</v>
      </c>
      <c r="B70" t="s">
        <v>54</v>
      </c>
      <c r="C70" t="s">
        <v>217</v>
      </c>
      <c r="D70" t="s">
        <v>48</v>
      </c>
      <c r="E70" t="s">
        <v>49</v>
      </c>
      <c r="F70">
        <v>2</v>
      </c>
      <c r="G70" s="2" t="s">
        <v>228</v>
      </c>
      <c r="H70" t="s">
        <v>19</v>
      </c>
      <c r="I70" t="s">
        <v>51</v>
      </c>
      <c r="K70">
        <v>3</v>
      </c>
      <c r="L70" t="s">
        <v>22</v>
      </c>
      <c r="M70" t="s">
        <v>229</v>
      </c>
    </row>
  </sheetData>
  <hyperlinks>
    <hyperlink ref="J23" r:id="rId1" xr:uid="{BB5EB94D-2AB2-44DD-B4E9-099B32BEA02B}"/>
    <hyperlink ref="J30" r:id="rId2" xr:uid="{4E90046F-95E9-4243-918A-5E6196B20CB6}"/>
    <hyperlink ref="J21" r:id="rId3" xr:uid="{8540C0AF-AA71-44E4-8CE2-3695FE3F4368}"/>
    <hyperlink ref="J16" r:id="rId4" xr:uid="{63D1A875-96E4-4361-BC87-707E569D75B6}"/>
    <hyperlink ref="J45" r:id="rId5" xr:uid="{4AF39C7C-6C97-4BE5-9BEA-17BAF1F5F890}"/>
    <hyperlink ref="J46" r:id="rId6" xr:uid="{D975A3AB-1ECD-41C1-A759-94A22F675B59}"/>
    <hyperlink ref="J10" r:id="rId7" xr:uid="{29BAF79E-E61C-43EA-AE40-09FE5C51497E}"/>
    <hyperlink ref="J11" r:id="rId8" xr:uid="{4D002D71-412C-47CB-894A-822402700E89}"/>
    <hyperlink ref="J31" r:id="rId9" xr:uid="{349ADD8A-B055-482B-944F-27021B47F946}"/>
    <hyperlink ref="J33" r:id="rId10" xr:uid="{90967BDD-AA27-48A5-BE3E-A01667457FEC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EB3D-8851-4022-BEA6-19188CEABEF7}">
  <dimension ref="A1:Q55"/>
  <sheetViews>
    <sheetView zoomScaleNormal="100" workbookViewId="0">
      <selection activeCell="E3" sqref="E3"/>
    </sheetView>
  </sheetViews>
  <sheetFormatPr defaultColWidth="9.140625" defaultRowHeight="15"/>
  <cols>
    <col min="1" max="1" width="9.140625" customWidth="1"/>
    <col min="2" max="2" width="11.140625" bestFit="1" customWidth="1"/>
    <col min="3" max="3" width="9.28515625" bestFit="1" customWidth="1"/>
    <col min="4" max="4" width="7.5703125" bestFit="1" customWidth="1"/>
    <col min="5" max="5" width="18.85546875" bestFit="1" customWidth="1"/>
    <col min="6" max="6" width="18.28515625" style="38" bestFit="1" customWidth="1"/>
    <col min="7" max="7" width="20" bestFit="1" customWidth="1"/>
    <col min="8" max="8" width="18.85546875" bestFit="1" customWidth="1"/>
    <col min="9" max="9" width="18.28515625" bestFit="1" customWidth="1"/>
    <col min="10" max="10" width="20" bestFit="1" customWidth="1"/>
    <col min="11" max="11" width="18.85546875" bestFit="1" customWidth="1"/>
    <col min="12" max="12" width="18.28515625" bestFit="1" customWidth="1"/>
    <col min="13" max="13" width="20" bestFit="1" customWidth="1"/>
  </cols>
  <sheetData>
    <row r="1" spans="1:17">
      <c r="A1" s="100"/>
      <c r="B1" s="101"/>
      <c r="C1" s="101"/>
      <c r="D1" s="102"/>
      <c r="E1" s="194" t="s">
        <v>242</v>
      </c>
      <c r="F1" s="195"/>
      <c r="G1" s="196"/>
      <c r="H1" s="197" t="s">
        <v>241</v>
      </c>
      <c r="I1" s="198"/>
      <c r="J1" s="198"/>
      <c r="K1" s="199" t="s">
        <v>240</v>
      </c>
      <c r="L1" s="200"/>
      <c r="M1" s="201"/>
      <c r="Q1" t="s">
        <v>243</v>
      </c>
    </row>
    <row r="2" spans="1:17" s="1" customFormat="1" ht="15.75" thickBot="1">
      <c r="A2" s="103" t="s">
        <v>0</v>
      </c>
      <c r="B2" s="1" t="s">
        <v>1</v>
      </c>
      <c r="C2" s="1" t="s">
        <v>2</v>
      </c>
      <c r="D2" s="104" t="s">
        <v>3</v>
      </c>
      <c r="E2" s="123" t="s">
        <v>5</v>
      </c>
      <c r="F2" s="124" t="s">
        <v>6</v>
      </c>
      <c r="G2" s="125" t="s">
        <v>128</v>
      </c>
      <c r="H2" s="123" t="s">
        <v>5</v>
      </c>
      <c r="I2" s="124" t="s">
        <v>6</v>
      </c>
      <c r="J2" s="134" t="s">
        <v>128</v>
      </c>
      <c r="K2" s="123" t="s">
        <v>5</v>
      </c>
      <c r="L2" s="124" t="s">
        <v>6</v>
      </c>
      <c r="M2" s="125" t="s">
        <v>128</v>
      </c>
    </row>
    <row r="3" spans="1:17">
      <c r="A3" s="7" t="s">
        <v>13</v>
      </c>
      <c r="B3" s="8" t="s">
        <v>14</v>
      </c>
      <c r="C3" s="8" t="s">
        <v>233</v>
      </c>
      <c r="D3" s="105" t="s">
        <v>16</v>
      </c>
      <c r="E3" s="9">
        <v>6521</v>
      </c>
      <c r="F3" s="9">
        <v>16286.6</v>
      </c>
      <c r="G3" s="10">
        <f t="shared" ref="G3:G34" si="0">E3 / SUMIFS($E:$E,$C:$C,$C3)</f>
        <v>0.84490800725576576</v>
      </c>
      <c r="H3" s="9">
        <v>2047</v>
      </c>
      <c r="I3" s="9">
        <v>5112.5</v>
      </c>
      <c r="J3" s="106">
        <f t="shared" ref="J3:J34" si="1">H3 / SUMIFS($H:$H,$C:$C,$C3)</f>
        <v>0.99804973183812773</v>
      </c>
      <c r="K3" s="135">
        <v>3051</v>
      </c>
      <c r="L3" s="68">
        <v>7620.1</v>
      </c>
      <c r="M3" s="12">
        <f t="shared" ref="M3:M34" si="2">K3 / SUMIFS($K:$K,$C:$C,$C3)</f>
        <v>0.99803729146221787</v>
      </c>
    </row>
    <row r="4" spans="1:17">
      <c r="A4" s="11" t="s">
        <v>13</v>
      </c>
      <c r="B4" s="106" t="s">
        <v>14</v>
      </c>
      <c r="C4" s="106" t="s">
        <v>233</v>
      </c>
      <c r="D4" s="107" t="s">
        <v>24</v>
      </c>
      <c r="E4" s="68">
        <v>784</v>
      </c>
      <c r="F4" s="68">
        <v>1958.1</v>
      </c>
      <c r="G4" s="12">
        <f t="shared" si="0"/>
        <v>0.10158072039388442</v>
      </c>
      <c r="H4" s="158">
        <v>0</v>
      </c>
      <c r="I4" s="158">
        <v>0</v>
      </c>
      <c r="J4" s="159">
        <f t="shared" si="1"/>
        <v>0</v>
      </c>
      <c r="K4" s="160">
        <v>0</v>
      </c>
      <c r="L4" s="158">
        <v>0</v>
      </c>
      <c r="M4" s="161">
        <f t="shared" si="2"/>
        <v>0</v>
      </c>
    </row>
    <row r="5" spans="1:17">
      <c r="A5" s="11" t="s">
        <v>13</v>
      </c>
      <c r="B5" s="106" t="s">
        <v>14</v>
      </c>
      <c r="C5" s="106" t="s">
        <v>233</v>
      </c>
      <c r="D5" s="108" t="s">
        <v>30</v>
      </c>
      <c r="E5" s="68">
        <v>314</v>
      </c>
      <c r="F5" s="68">
        <v>784.2</v>
      </c>
      <c r="G5" s="12">
        <f t="shared" si="0"/>
        <v>4.0684115055713913E-2</v>
      </c>
      <c r="H5" s="158">
        <v>0</v>
      </c>
      <c r="I5" s="158">
        <v>0</v>
      </c>
      <c r="J5" s="159">
        <f t="shared" si="1"/>
        <v>0</v>
      </c>
      <c r="K5" s="135">
        <v>1</v>
      </c>
      <c r="L5" s="68">
        <v>2.5</v>
      </c>
      <c r="M5" s="12">
        <f t="shared" si="2"/>
        <v>3.2711808963035657E-4</v>
      </c>
    </row>
    <row r="6" spans="1:17">
      <c r="A6" s="11" t="s">
        <v>13</v>
      </c>
      <c r="B6" s="106" t="s">
        <v>14</v>
      </c>
      <c r="C6" s="106" t="s">
        <v>233</v>
      </c>
      <c r="D6" s="109" t="s">
        <v>36</v>
      </c>
      <c r="E6" s="68">
        <v>76</v>
      </c>
      <c r="F6" s="68">
        <v>189.8</v>
      </c>
      <c r="G6" s="12">
        <f t="shared" si="0"/>
        <v>9.8471106504275721E-3</v>
      </c>
      <c r="H6" s="158">
        <v>0</v>
      </c>
      <c r="I6" s="158">
        <v>0</v>
      </c>
      <c r="J6" s="159">
        <f t="shared" si="1"/>
        <v>0</v>
      </c>
      <c r="K6" s="160">
        <v>0</v>
      </c>
      <c r="L6" s="158">
        <v>0</v>
      </c>
      <c r="M6" s="161">
        <f t="shared" si="2"/>
        <v>0</v>
      </c>
    </row>
    <row r="7" spans="1:17">
      <c r="A7" s="11" t="s">
        <v>13</v>
      </c>
      <c r="B7" s="106" t="s">
        <v>14</v>
      </c>
      <c r="C7" s="106" t="s">
        <v>233</v>
      </c>
      <c r="D7" s="110" t="s">
        <v>42</v>
      </c>
      <c r="E7" s="68">
        <v>18</v>
      </c>
      <c r="F7" s="68">
        <v>45</v>
      </c>
      <c r="G7" s="12">
        <f t="shared" si="0"/>
        <v>2.3322104172065301E-3</v>
      </c>
      <c r="H7" s="158">
        <v>0</v>
      </c>
      <c r="I7" s="158">
        <v>0</v>
      </c>
      <c r="J7" s="159">
        <f t="shared" si="1"/>
        <v>0</v>
      </c>
      <c r="K7" s="160">
        <v>0</v>
      </c>
      <c r="L7" s="158">
        <v>0</v>
      </c>
      <c r="M7" s="161">
        <f t="shared" si="2"/>
        <v>0</v>
      </c>
    </row>
    <row r="8" spans="1:17">
      <c r="A8" s="73" t="s">
        <v>13</v>
      </c>
      <c r="B8" s="74" t="s">
        <v>14</v>
      </c>
      <c r="C8" s="74" t="s">
        <v>233</v>
      </c>
      <c r="D8" s="111" t="s">
        <v>48</v>
      </c>
      <c r="E8" s="75">
        <v>5</v>
      </c>
      <c r="F8" s="75">
        <v>12.5</v>
      </c>
      <c r="G8" s="76">
        <f t="shared" si="0"/>
        <v>6.4783622700181399E-4</v>
      </c>
      <c r="H8" s="75">
        <v>4</v>
      </c>
      <c r="I8" s="75">
        <v>10</v>
      </c>
      <c r="J8" s="106">
        <f t="shared" si="1"/>
        <v>1.9502681618722574E-3</v>
      </c>
      <c r="K8" s="135">
        <v>5</v>
      </c>
      <c r="L8" s="68">
        <v>12.5</v>
      </c>
      <c r="M8" s="12">
        <f t="shared" si="2"/>
        <v>1.6355904481517827E-3</v>
      </c>
    </row>
    <row r="9" spans="1:17">
      <c r="A9" s="13" t="s">
        <v>13</v>
      </c>
      <c r="B9" s="112" t="s">
        <v>54</v>
      </c>
      <c r="C9" s="112" t="s">
        <v>55</v>
      </c>
      <c r="D9" s="113" t="s">
        <v>16</v>
      </c>
      <c r="E9" s="69">
        <v>762</v>
      </c>
      <c r="F9" s="69">
        <v>17223.5</v>
      </c>
      <c r="G9" s="14">
        <f t="shared" si="0"/>
        <v>0.71148459383753504</v>
      </c>
      <c r="H9" s="148">
        <v>53</v>
      </c>
      <c r="I9" s="148">
        <v>1198</v>
      </c>
      <c r="J9" s="149">
        <f t="shared" si="1"/>
        <v>1</v>
      </c>
      <c r="K9" s="150">
        <v>75</v>
      </c>
      <c r="L9" s="151">
        <v>1695.2</v>
      </c>
      <c r="M9" s="152">
        <f t="shared" si="2"/>
        <v>1</v>
      </c>
    </row>
    <row r="10" spans="1:17">
      <c r="A10" s="13" t="s">
        <v>13</v>
      </c>
      <c r="B10" s="112" t="s">
        <v>54</v>
      </c>
      <c r="C10" s="112" t="s">
        <v>55</v>
      </c>
      <c r="D10" s="107" t="s">
        <v>24</v>
      </c>
      <c r="E10" s="69">
        <v>204</v>
      </c>
      <c r="F10" s="69">
        <v>4611</v>
      </c>
      <c r="G10" s="14">
        <f t="shared" si="0"/>
        <v>0.19047619047619047</v>
      </c>
      <c r="H10" s="162">
        <v>0</v>
      </c>
      <c r="I10" s="162">
        <v>0</v>
      </c>
      <c r="J10" s="163">
        <f t="shared" si="1"/>
        <v>0</v>
      </c>
      <c r="K10" s="165">
        <v>0</v>
      </c>
      <c r="L10" s="162">
        <v>0</v>
      </c>
      <c r="M10" s="166">
        <f t="shared" si="2"/>
        <v>0</v>
      </c>
    </row>
    <row r="11" spans="1:17">
      <c r="A11" s="13" t="s">
        <v>13</v>
      </c>
      <c r="B11" s="112" t="s">
        <v>54</v>
      </c>
      <c r="C11" s="112" t="s">
        <v>55</v>
      </c>
      <c r="D11" s="108" t="s">
        <v>30</v>
      </c>
      <c r="E11" s="69">
        <v>93</v>
      </c>
      <c r="F11" s="69">
        <v>2102.1</v>
      </c>
      <c r="G11" s="14">
        <f t="shared" si="0"/>
        <v>8.683473389355742E-2</v>
      </c>
      <c r="H11" s="162">
        <v>0</v>
      </c>
      <c r="I11" s="162">
        <v>0</v>
      </c>
      <c r="J11" s="163">
        <f t="shared" si="1"/>
        <v>0</v>
      </c>
      <c r="K11" s="165">
        <v>0</v>
      </c>
      <c r="L11" s="162">
        <v>0</v>
      </c>
      <c r="M11" s="166">
        <f t="shared" si="2"/>
        <v>0</v>
      </c>
    </row>
    <row r="12" spans="1:17">
      <c r="A12" s="13" t="s">
        <v>13</v>
      </c>
      <c r="B12" s="112" t="s">
        <v>54</v>
      </c>
      <c r="C12" s="112" t="s">
        <v>55</v>
      </c>
      <c r="D12" s="109" t="s">
        <v>36</v>
      </c>
      <c r="E12" s="69">
        <v>10</v>
      </c>
      <c r="F12" s="69">
        <v>226</v>
      </c>
      <c r="G12" s="14">
        <f t="shared" si="0"/>
        <v>9.3370681605975722E-3</v>
      </c>
      <c r="H12" s="162">
        <v>0</v>
      </c>
      <c r="I12" s="162">
        <v>0</v>
      </c>
      <c r="J12" s="163">
        <f t="shared" si="1"/>
        <v>0</v>
      </c>
      <c r="K12" s="165">
        <v>0</v>
      </c>
      <c r="L12" s="162">
        <v>0</v>
      </c>
      <c r="M12" s="166">
        <f t="shared" si="2"/>
        <v>0</v>
      </c>
    </row>
    <row r="13" spans="1:17" ht="15.75" thickBot="1">
      <c r="A13" s="13" t="s">
        <v>13</v>
      </c>
      <c r="B13" s="112" t="s">
        <v>54</v>
      </c>
      <c r="C13" s="112" t="s">
        <v>55</v>
      </c>
      <c r="D13" s="110" t="s">
        <v>42</v>
      </c>
      <c r="E13" s="69">
        <v>2</v>
      </c>
      <c r="F13" s="69">
        <v>45.2</v>
      </c>
      <c r="G13" s="14">
        <f t="shared" si="0"/>
        <v>1.8674136321195146E-3</v>
      </c>
      <c r="H13" s="162">
        <v>0</v>
      </c>
      <c r="I13" s="162">
        <v>0</v>
      </c>
      <c r="J13" s="164">
        <f t="shared" si="1"/>
        <v>0</v>
      </c>
      <c r="K13" s="167">
        <v>0</v>
      </c>
      <c r="L13" s="168">
        <v>0</v>
      </c>
      <c r="M13" s="169">
        <f t="shared" si="2"/>
        <v>0</v>
      </c>
    </row>
    <row r="14" spans="1:17">
      <c r="A14" s="29" t="s">
        <v>71</v>
      </c>
      <c r="B14" s="30" t="s">
        <v>14</v>
      </c>
      <c r="C14" s="30" t="s">
        <v>129</v>
      </c>
      <c r="D14" s="105" t="s">
        <v>16</v>
      </c>
      <c r="E14" s="31">
        <v>2853</v>
      </c>
      <c r="F14" s="31">
        <v>21780.3</v>
      </c>
      <c r="G14" s="32">
        <f t="shared" si="0"/>
        <v>0.97372013651877132</v>
      </c>
      <c r="H14" s="31">
        <v>806</v>
      </c>
      <c r="I14" s="31">
        <v>6153.1</v>
      </c>
      <c r="J14" s="146">
        <f t="shared" si="1"/>
        <v>0.99752475247524752</v>
      </c>
      <c r="K14" s="136">
        <v>1170</v>
      </c>
      <c r="L14" s="133">
        <v>8932</v>
      </c>
      <c r="M14" s="147">
        <f t="shared" si="2"/>
        <v>0.99744245524296671</v>
      </c>
    </row>
    <row r="15" spans="1:17">
      <c r="A15" s="77" t="s">
        <v>71</v>
      </c>
      <c r="B15" s="78" t="s">
        <v>14</v>
      </c>
      <c r="C15" s="78" t="s">
        <v>129</v>
      </c>
      <c r="D15" s="114" t="s">
        <v>30</v>
      </c>
      <c r="E15" s="79">
        <v>77</v>
      </c>
      <c r="F15" s="79">
        <v>587.79999999999995</v>
      </c>
      <c r="G15" s="80">
        <f t="shared" si="0"/>
        <v>2.6279863481228669E-2</v>
      </c>
      <c r="H15" s="79">
        <v>2</v>
      </c>
      <c r="I15" s="79">
        <v>15.3</v>
      </c>
      <c r="J15" s="78">
        <f t="shared" si="1"/>
        <v>2.4752475247524753E-3</v>
      </c>
      <c r="K15" s="137">
        <v>3</v>
      </c>
      <c r="L15" s="79">
        <v>22.9</v>
      </c>
      <c r="M15" s="80">
        <f t="shared" si="2"/>
        <v>2.5575447570332483E-3</v>
      </c>
    </row>
    <row r="16" spans="1:17">
      <c r="A16" s="15" t="s">
        <v>71</v>
      </c>
      <c r="B16" s="115" t="s">
        <v>54</v>
      </c>
      <c r="C16" s="115" t="s">
        <v>130</v>
      </c>
      <c r="D16" s="113" t="s">
        <v>16</v>
      </c>
      <c r="E16" s="70">
        <v>2201</v>
      </c>
      <c r="F16" s="70">
        <v>27196.3</v>
      </c>
      <c r="G16" s="16">
        <f t="shared" si="0"/>
        <v>0.92947635135135132</v>
      </c>
      <c r="H16" s="70">
        <v>196</v>
      </c>
      <c r="I16" s="70">
        <v>2421.8000000000002</v>
      </c>
      <c r="J16" s="115">
        <f t="shared" si="1"/>
        <v>0.99492385786802029</v>
      </c>
      <c r="K16" s="138">
        <v>355</v>
      </c>
      <c r="L16" s="70">
        <v>4386.5</v>
      </c>
      <c r="M16" s="16">
        <f t="shared" si="2"/>
        <v>0.99162011173184361</v>
      </c>
    </row>
    <row r="17" spans="1:13">
      <c r="A17" s="15" t="s">
        <v>71</v>
      </c>
      <c r="B17" s="115" t="s">
        <v>54</v>
      </c>
      <c r="C17" s="115" t="s">
        <v>130</v>
      </c>
      <c r="D17" s="108" t="s">
        <v>30</v>
      </c>
      <c r="E17" s="70">
        <v>163</v>
      </c>
      <c r="F17" s="70">
        <v>2014.1</v>
      </c>
      <c r="G17" s="16">
        <f t="shared" si="0"/>
        <v>6.8834459459459457E-2</v>
      </c>
      <c r="H17" s="70">
        <v>1</v>
      </c>
      <c r="I17" s="70">
        <v>12.4</v>
      </c>
      <c r="J17" s="115">
        <f t="shared" si="1"/>
        <v>5.076142131979695E-3</v>
      </c>
      <c r="K17" s="138">
        <v>3</v>
      </c>
      <c r="L17" s="70">
        <v>37.1</v>
      </c>
      <c r="M17" s="16">
        <f t="shared" si="2"/>
        <v>8.3798882681564244E-3</v>
      </c>
    </row>
    <row r="18" spans="1:13">
      <c r="A18" s="15" t="s">
        <v>71</v>
      </c>
      <c r="B18" s="115" t="s">
        <v>54</v>
      </c>
      <c r="C18" s="115" t="s">
        <v>130</v>
      </c>
      <c r="D18" s="107" t="s">
        <v>24</v>
      </c>
      <c r="E18" s="70">
        <v>3</v>
      </c>
      <c r="F18" s="70">
        <v>37.1</v>
      </c>
      <c r="G18" s="16">
        <f t="shared" si="0"/>
        <v>1.266891891891892E-3</v>
      </c>
      <c r="H18" s="170">
        <v>0</v>
      </c>
      <c r="I18" s="170">
        <v>0</v>
      </c>
      <c r="J18" s="171">
        <f t="shared" si="1"/>
        <v>0</v>
      </c>
      <c r="K18" s="172">
        <v>0</v>
      </c>
      <c r="L18" s="170">
        <v>0</v>
      </c>
      <c r="M18" s="173">
        <f t="shared" si="2"/>
        <v>0</v>
      </c>
    </row>
    <row r="19" spans="1:13" ht="15.75" thickBot="1">
      <c r="A19" s="33" t="s">
        <v>71</v>
      </c>
      <c r="B19" s="34" t="s">
        <v>54</v>
      </c>
      <c r="C19" s="34" t="s">
        <v>130</v>
      </c>
      <c r="D19" s="116" t="s">
        <v>36</v>
      </c>
      <c r="E19" s="35">
        <v>1</v>
      </c>
      <c r="F19" s="35">
        <v>12.4</v>
      </c>
      <c r="G19" s="36">
        <f t="shared" si="0"/>
        <v>4.2229729729729732E-4</v>
      </c>
      <c r="H19" s="174">
        <v>0</v>
      </c>
      <c r="I19" s="174">
        <v>0</v>
      </c>
      <c r="J19" s="175">
        <f t="shared" si="1"/>
        <v>0</v>
      </c>
      <c r="K19" s="176">
        <v>0</v>
      </c>
      <c r="L19" s="174">
        <v>0</v>
      </c>
      <c r="M19" s="177">
        <f t="shared" si="2"/>
        <v>0</v>
      </c>
    </row>
    <row r="20" spans="1:13">
      <c r="A20" s="25" t="s">
        <v>89</v>
      </c>
      <c r="B20" s="26" t="s">
        <v>14</v>
      </c>
      <c r="C20" s="26" t="s">
        <v>90</v>
      </c>
      <c r="D20" s="105" t="s">
        <v>16</v>
      </c>
      <c r="E20" s="27">
        <v>2131</v>
      </c>
      <c r="F20" s="27">
        <v>7978.4</v>
      </c>
      <c r="G20" s="28">
        <f t="shared" si="0"/>
        <v>0.54529170931422721</v>
      </c>
      <c r="H20" s="27">
        <v>1406</v>
      </c>
      <c r="I20" s="27">
        <v>5264</v>
      </c>
      <c r="J20" s="117">
        <f t="shared" si="1"/>
        <v>0.71406805485017777</v>
      </c>
      <c r="K20" s="139">
        <v>1816</v>
      </c>
      <c r="L20" s="71">
        <v>6799</v>
      </c>
      <c r="M20" s="18">
        <f t="shared" si="2"/>
        <v>0.71439811172305268</v>
      </c>
    </row>
    <row r="21" spans="1:13">
      <c r="A21" s="17" t="s">
        <v>89</v>
      </c>
      <c r="B21" s="117" t="s">
        <v>14</v>
      </c>
      <c r="C21" s="117" t="s">
        <v>90</v>
      </c>
      <c r="D21" s="109" t="s">
        <v>36</v>
      </c>
      <c r="E21" s="71">
        <v>826</v>
      </c>
      <c r="F21" s="71">
        <v>3092.5</v>
      </c>
      <c r="G21" s="18">
        <f t="shared" si="0"/>
        <v>0.21136131013306039</v>
      </c>
      <c r="H21" s="71">
        <v>282</v>
      </c>
      <c r="I21" s="71">
        <v>1055.8</v>
      </c>
      <c r="J21" s="117">
        <f t="shared" si="1"/>
        <v>0.14321990858303707</v>
      </c>
      <c r="K21" s="139">
        <v>361</v>
      </c>
      <c r="L21" s="71">
        <v>1351.6</v>
      </c>
      <c r="M21" s="18">
        <f t="shared" si="2"/>
        <v>0.14201416207710466</v>
      </c>
    </row>
    <row r="22" spans="1:13">
      <c r="A22" s="17" t="s">
        <v>89</v>
      </c>
      <c r="B22" s="117" t="s">
        <v>14</v>
      </c>
      <c r="C22" s="117" t="s">
        <v>90</v>
      </c>
      <c r="D22" s="107" t="s">
        <v>24</v>
      </c>
      <c r="E22" s="71">
        <v>427</v>
      </c>
      <c r="F22" s="71">
        <v>1598.7</v>
      </c>
      <c r="G22" s="18">
        <f t="shared" si="0"/>
        <v>0.10926305015353122</v>
      </c>
      <c r="H22" s="71">
        <v>132</v>
      </c>
      <c r="I22" s="71">
        <v>494.2</v>
      </c>
      <c r="J22" s="117">
        <f t="shared" si="1"/>
        <v>6.7039106145251395E-2</v>
      </c>
      <c r="K22" s="139">
        <v>179</v>
      </c>
      <c r="L22" s="71">
        <v>670.2</v>
      </c>
      <c r="M22" s="18">
        <f t="shared" si="2"/>
        <v>7.0416994492525573E-2</v>
      </c>
    </row>
    <row r="23" spans="1:13">
      <c r="A23" s="17" t="s">
        <v>89</v>
      </c>
      <c r="B23" s="117" t="s">
        <v>14</v>
      </c>
      <c r="C23" s="117" t="s">
        <v>90</v>
      </c>
      <c r="D23" s="108" t="s">
        <v>30</v>
      </c>
      <c r="E23" s="71">
        <v>333</v>
      </c>
      <c r="F23" s="71">
        <v>1246.7</v>
      </c>
      <c r="G23" s="18">
        <f t="shared" si="0"/>
        <v>8.5209825997952918E-2</v>
      </c>
      <c r="H23" s="71">
        <v>32</v>
      </c>
      <c r="I23" s="71">
        <v>119.8</v>
      </c>
      <c r="J23" s="117">
        <f t="shared" si="1"/>
        <v>1.6251904520060943E-2</v>
      </c>
      <c r="K23" s="139">
        <v>47</v>
      </c>
      <c r="L23" s="71">
        <v>176</v>
      </c>
      <c r="M23" s="18">
        <f t="shared" si="2"/>
        <v>1.8489378442171519E-2</v>
      </c>
    </row>
    <row r="24" spans="1:13">
      <c r="A24" s="17" t="s">
        <v>89</v>
      </c>
      <c r="B24" s="117" t="s">
        <v>14</v>
      </c>
      <c r="C24" s="117" t="s">
        <v>90</v>
      </c>
      <c r="D24" s="110" t="s">
        <v>42</v>
      </c>
      <c r="E24" s="71">
        <v>108</v>
      </c>
      <c r="F24" s="71">
        <v>404.3</v>
      </c>
      <c r="G24" s="18">
        <f t="shared" si="0"/>
        <v>2.7635619242579325E-2</v>
      </c>
      <c r="H24" s="71">
        <v>80</v>
      </c>
      <c r="I24" s="71">
        <v>299.5</v>
      </c>
      <c r="J24" s="117">
        <f t="shared" si="1"/>
        <v>4.0629761300152362E-2</v>
      </c>
      <c r="K24" s="139">
        <v>95</v>
      </c>
      <c r="L24" s="71">
        <v>355.7</v>
      </c>
      <c r="M24" s="18">
        <f t="shared" si="2"/>
        <v>3.7372147915027534E-2</v>
      </c>
    </row>
    <row r="25" spans="1:13">
      <c r="A25" s="81" t="s">
        <v>89</v>
      </c>
      <c r="B25" s="82" t="s">
        <v>14</v>
      </c>
      <c r="C25" s="82" t="s">
        <v>90</v>
      </c>
      <c r="D25" s="111" t="s">
        <v>48</v>
      </c>
      <c r="E25" s="83">
        <v>83</v>
      </c>
      <c r="F25" s="83">
        <v>310.7</v>
      </c>
      <c r="G25" s="84">
        <f t="shared" si="0"/>
        <v>2.1238485158648925E-2</v>
      </c>
      <c r="H25" s="83">
        <v>37</v>
      </c>
      <c r="I25" s="83">
        <v>138.5</v>
      </c>
      <c r="J25" s="117">
        <f t="shared" si="1"/>
        <v>1.8791264601320468E-2</v>
      </c>
      <c r="K25" s="139">
        <v>44</v>
      </c>
      <c r="L25" s="71">
        <v>164.7</v>
      </c>
      <c r="M25" s="18">
        <f t="shared" si="2"/>
        <v>1.7309205350118019E-2</v>
      </c>
    </row>
    <row r="26" spans="1:13">
      <c r="A26" s="19" t="s">
        <v>89</v>
      </c>
      <c r="B26" s="118" t="s">
        <v>54</v>
      </c>
      <c r="C26" s="118" t="s">
        <v>109</v>
      </c>
      <c r="D26" s="113" t="s">
        <v>16</v>
      </c>
      <c r="E26" s="72">
        <v>327</v>
      </c>
      <c r="F26" s="72">
        <v>3323.4</v>
      </c>
      <c r="G26" s="20">
        <f t="shared" si="0"/>
        <v>0.39161676646706589</v>
      </c>
      <c r="H26" s="72">
        <v>108</v>
      </c>
      <c r="I26" s="72">
        <v>1097.5999999999999</v>
      </c>
      <c r="J26" s="153">
        <f t="shared" si="1"/>
        <v>0.6428571428571429</v>
      </c>
      <c r="K26" s="140">
        <v>127</v>
      </c>
      <c r="L26" s="126">
        <v>1290.7</v>
      </c>
      <c r="M26" s="154">
        <f t="shared" si="2"/>
        <v>0.63500000000000001</v>
      </c>
    </row>
    <row r="27" spans="1:13">
      <c r="A27" s="19" t="s">
        <v>89</v>
      </c>
      <c r="B27" s="118" t="s">
        <v>54</v>
      </c>
      <c r="C27" s="118" t="s">
        <v>109</v>
      </c>
      <c r="D27" s="107" t="s">
        <v>24</v>
      </c>
      <c r="E27" s="72">
        <v>174</v>
      </c>
      <c r="F27" s="72">
        <v>1768.4</v>
      </c>
      <c r="G27" s="20">
        <f t="shared" si="0"/>
        <v>0.20838323353293414</v>
      </c>
      <c r="H27" s="72">
        <v>18</v>
      </c>
      <c r="I27" s="72">
        <v>182.9</v>
      </c>
      <c r="J27" s="118">
        <f t="shared" si="1"/>
        <v>0.10714285714285714</v>
      </c>
      <c r="K27" s="141">
        <v>24</v>
      </c>
      <c r="L27" s="72">
        <v>243.9</v>
      </c>
      <c r="M27" s="20">
        <f t="shared" si="2"/>
        <v>0.12</v>
      </c>
    </row>
    <row r="28" spans="1:13">
      <c r="A28" s="19" t="s">
        <v>89</v>
      </c>
      <c r="B28" s="118" t="s">
        <v>54</v>
      </c>
      <c r="C28" s="118" t="s">
        <v>109</v>
      </c>
      <c r="D28" s="109" t="s">
        <v>36</v>
      </c>
      <c r="E28" s="72">
        <v>145</v>
      </c>
      <c r="F28" s="72">
        <v>1473.7</v>
      </c>
      <c r="G28" s="20">
        <f t="shared" si="0"/>
        <v>0.17365269461077845</v>
      </c>
      <c r="H28" s="72">
        <v>18</v>
      </c>
      <c r="I28" s="72">
        <v>182.9</v>
      </c>
      <c r="J28" s="118">
        <f t="shared" si="1"/>
        <v>0.10714285714285714</v>
      </c>
      <c r="K28" s="141">
        <v>23</v>
      </c>
      <c r="L28" s="72">
        <v>233.8</v>
      </c>
      <c r="M28" s="20">
        <f t="shared" si="2"/>
        <v>0.115</v>
      </c>
    </row>
    <row r="29" spans="1:13">
      <c r="A29" s="19" t="s">
        <v>89</v>
      </c>
      <c r="B29" s="118" t="s">
        <v>54</v>
      </c>
      <c r="C29" s="118" t="s">
        <v>109</v>
      </c>
      <c r="D29" s="108" t="s">
        <v>30</v>
      </c>
      <c r="E29" s="72">
        <v>130</v>
      </c>
      <c r="F29" s="72">
        <v>1321.2</v>
      </c>
      <c r="G29" s="20">
        <f t="shared" si="0"/>
        <v>0.15568862275449102</v>
      </c>
      <c r="H29" s="72">
        <v>4</v>
      </c>
      <c r="I29" s="72">
        <v>40.700000000000003</v>
      </c>
      <c r="J29" s="118">
        <f t="shared" si="1"/>
        <v>2.3809523809523808E-2</v>
      </c>
      <c r="K29" s="141">
        <v>4</v>
      </c>
      <c r="L29" s="72">
        <v>40.700000000000003</v>
      </c>
      <c r="M29" s="20">
        <f t="shared" si="2"/>
        <v>0.02</v>
      </c>
    </row>
    <row r="30" spans="1:13">
      <c r="A30" s="19" t="s">
        <v>89</v>
      </c>
      <c r="B30" s="118" t="s">
        <v>54</v>
      </c>
      <c r="C30" s="118" t="s">
        <v>109</v>
      </c>
      <c r="D30" s="110" t="s">
        <v>42</v>
      </c>
      <c r="E30" s="72">
        <v>39</v>
      </c>
      <c r="F30" s="72">
        <v>396.4</v>
      </c>
      <c r="G30" s="20">
        <f t="shared" si="0"/>
        <v>4.6706586826347304E-2</v>
      </c>
      <c r="H30" s="72">
        <v>16</v>
      </c>
      <c r="I30" s="72">
        <v>162.6</v>
      </c>
      <c r="J30" s="118">
        <f t="shared" si="1"/>
        <v>9.5238095238095233E-2</v>
      </c>
      <c r="K30" s="141">
        <v>17</v>
      </c>
      <c r="L30" s="72">
        <v>172.8</v>
      </c>
      <c r="M30" s="20">
        <f t="shared" si="2"/>
        <v>8.5000000000000006E-2</v>
      </c>
    </row>
    <row r="31" spans="1:13" ht="15.75" thickBot="1">
      <c r="A31" s="21" t="s">
        <v>89</v>
      </c>
      <c r="B31" s="22" t="s">
        <v>54</v>
      </c>
      <c r="C31" s="22" t="s">
        <v>109</v>
      </c>
      <c r="D31" s="119" t="s">
        <v>48</v>
      </c>
      <c r="E31" s="23">
        <v>20</v>
      </c>
      <c r="F31" s="23">
        <v>203.3</v>
      </c>
      <c r="G31" s="24">
        <f t="shared" si="0"/>
        <v>2.3952095808383235E-2</v>
      </c>
      <c r="H31" s="23">
        <v>4</v>
      </c>
      <c r="I31" s="23">
        <v>40.700000000000003</v>
      </c>
      <c r="J31" s="22">
        <f t="shared" si="1"/>
        <v>2.3809523809523808E-2</v>
      </c>
      <c r="K31" s="142">
        <v>5</v>
      </c>
      <c r="L31" s="23">
        <v>50.8</v>
      </c>
      <c r="M31" s="24">
        <f t="shared" si="2"/>
        <v>2.5000000000000001E-2</v>
      </c>
    </row>
    <row r="32" spans="1:13">
      <c r="A32" s="39" t="s">
        <v>143</v>
      </c>
      <c r="B32" s="40" t="s">
        <v>14</v>
      </c>
      <c r="C32" s="40" t="s">
        <v>234</v>
      </c>
      <c r="D32" s="105" t="s">
        <v>16</v>
      </c>
      <c r="E32" s="40">
        <v>3369</v>
      </c>
      <c r="F32" s="43">
        <v>7805.8</v>
      </c>
      <c r="G32" s="44">
        <f t="shared" si="0"/>
        <v>0.84542032622333751</v>
      </c>
      <c r="H32" s="40">
        <v>1811</v>
      </c>
      <c r="I32" s="43">
        <v>4196</v>
      </c>
      <c r="J32" s="42">
        <f t="shared" si="1"/>
        <v>0.96638207043756674</v>
      </c>
      <c r="K32" s="41">
        <v>2841</v>
      </c>
      <c r="L32" s="45">
        <v>6582.5</v>
      </c>
      <c r="M32" s="46">
        <f t="shared" si="2"/>
        <v>0.96797274275979561</v>
      </c>
    </row>
    <row r="33" spans="1:13">
      <c r="A33" s="41" t="s">
        <v>143</v>
      </c>
      <c r="B33" s="42" t="s">
        <v>14</v>
      </c>
      <c r="C33" s="42" t="s">
        <v>234</v>
      </c>
      <c r="D33" s="107" t="s">
        <v>24</v>
      </c>
      <c r="E33" s="42">
        <v>245</v>
      </c>
      <c r="F33" s="45">
        <v>567.70000000000005</v>
      </c>
      <c r="G33" s="46">
        <f t="shared" si="0"/>
        <v>6.148055207026349E-2</v>
      </c>
      <c r="H33" s="178">
        <v>0</v>
      </c>
      <c r="I33" s="179">
        <v>0</v>
      </c>
      <c r="J33" s="178">
        <f t="shared" si="1"/>
        <v>0</v>
      </c>
      <c r="K33" s="180">
        <v>0</v>
      </c>
      <c r="L33" s="179">
        <v>0</v>
      </c>
      <c r="M33" s="181">
        <f t="shared" si="2"/>
        <v>0</v>
      </c>
    </row>
    <row r="34" spans="1:13">
      <c r="A34" s="41" t="s">
        <v>143</v>
      </c>
      <c r="B34" s="42" t="s">
        <v>14</v>
      </c>
      <c r="C34" s="42" t="s">
        <v>234</v>
      </c>
      <c r="D34" s="109" t="s">
        <v>36</v>
      </c>
      <c r="E34" s="42">
        <v>220</v>
      </c>
      <c r="F34" s="45">
        <v>509.7</v>
      </c>
      <c r="G34" s="46">
        <f t="shared" si="0"/>
        <v>5.520702634880803E-2</v>
      </c>
      <c r="H34" s="42">
        <v>22</v>
      </c>
      <c r="I34" s="45">
        <v>51</v>
      </c>
      <c r="J34" s="42">
        <f t="shared" si="1"/>
        <v>1.1739594450373533E-2</v>
      </c>
      <c r="K34" s="41">
        <v>33</v>
      </c>
      <c r="L34" s="45">
        <v>76.5</v>
      </c>
      <c r="M34" s="46">
        <f t="shared" si="2"/>
        <v>1.1243611584327087E-2</v>
      </c>
    </row>
    <row r="35" spans="1:13">
      <c r="A35" s="41" t="s">
        <v>143</v>
      </c>
      <c r="B35" s="42" t="s">
        <v>14</v>
      </c>
      <c r="C35" s="42" t="s">
        <v>234</v>
      </c>
      <c r="D35" s="108" t="s">
        <v>30</v>
      </c>
      <c r="E35" s="42">
        <v>82</v>
      </c>
      <c r="F35" s="45">
        <v>190</v>
      </c>
      <c r="G35" s="46">
        <f t="shared" ref="G35:G55" si="3">E35 / SUMIFS($E:$E,$C:$C,$C35)</f>
        <v>2.0577164366373902E-2</v>
      </c>
      <c r="H35" s="178">
        <v>0</v>
      </c>
      <c r="I35" s="179">
        <v>0</v>
      </c>
      <c r="J35" s="178">
        <f t="shared" ref="J35:J55" si="4">H35 / SUMIFS($H:$H,$C:$C,$C35)</f>
        <v>0</v>
      </c>
      <c r="K35" s="41">
        <v>2</v>
      </c>
      <c r="L35" s="45">
        <v>4.5999999999999996</v>
      </c>
      <c r="M35" s="46">
        <f t="shared" ref="M35:M55" si="5">K35 / SUMIFS($K:$K,$C:$C,$C35)</f>
        <v>6.814310051107325E-4</v>
      </c>
    </row>
    <row r="36" spans="1:13">
      <c r="A36" s="41" t="s">
        <v>143</v>
      </c>
      <c r="B36" s="42" t="s">
        <v>14</v>
      </c>
      <c r="C36" s="42" t="s">
        <v>234</v>
      </c>
      <c r="D36" s="120" t="s">
        <v>48</v>
      </c>
      <c r="E36" s="42">
        <v>54</v>
      </c>
      <c r="F36" s="45">
        <v>125.1</v>
      </c>
      <c r="G36" s="46">
        <f t="shared" si="3"/>
        <v>1.3550815558343789E-2</v>
      </c>
      <c r="H36" s="42">
        <v>32</v>
      </c>
      <c r="I36" s="45">
        <v>74.099999999999994</v>
      </c>
      <c r="J36" s="42">
        <f t="shared" si="4"/>
        <v>1.7075773745997867E-2</v>
      </c>
      <c r="K36" s="41">
        <v>46</v>
      </c>
      <c r="L36" s="45">
        <v>106.6</v>
      </c>
      <c r="M36" s="46">
        <f t="shared" si="5"/>
        <v>1.5672913117546847E-2</v>
      </c>
    </row>
    <row r="37" spans="1:13">
      <c r="A37" s="85" t="s">
        <v>143</v>
      </c>
      <c r="B37" s="86" t="s">
        <v>14</v>
      </c>
      <c r="C37" s="86" t="s">
        <v>234</v>
      </c>
      <c r="D37" s="121" t="s">
        <v>42</v>
      </c>
      <c r="E37" s="86">
        <v>15</v>
      </c>
      <c r="F37" s="87">
        <v>34.799999999999997</v>
      </c>
      <c r="G37" s="88">
        <f t="shared" si="3"/>
        <v>3.7641154328732747E-3</v>
      </c>
      <c r="H37" s="86">
        <v>9</v>
      </c>
      <c r="I37" s="87">
        <v>20.9</v>
      </c>
      <c r="J37" s="42">
        <f t="shared" si="4"/>
        <v>4.8025613660618999E-3</v>
      </c>
      <c r="K37" s="41">
        <v>13</v>
      </c>
      <c r="L37" s="45">
        <v>30.1</v>
      </c>
      <c r="M37" s="46">
        <f t="shared" si="5"/>
        <v>4.4293015332197618E-3</v>
      </c>
    </row>
    <row r="38" spans="1:13">
      <c r="A38" s="47" t="s">
        <v>143</v>
      </c>
      <c r="B38" s="48" t="s">
        <v>54</v>
      </c>
      <c r="C38" s="48" t="s">
        <v>162</v>
      </c>
      <c r="D38" s="113" t="s">
        <v>16</v>
      </c>
      <c r="E38" s="48">
        <v>56</v>
      </c>
      <c r="F38" s="49">
        <v>6936.7</v>
      </c>
      <c r="G38" s="50">
        <f t="shared" si="3"/>
        <v>0.46280991735537191</v>
      </c>
      <c r="H38" s="48">
        <v>9</v>
      </c>
      <c r="I38" s="49">
        <v>1114.8</v>
      </c>
      <c r="J38" s="127">
        <f t="shared" si="4"/>
        <v>0.75</v>
      </c>
      <c r="K38" s="143">
        <v>10</v>
      </c>
      <c r="L38" s="128">
        <v>1238.7</v>
      </c>
      <c r="M38" s="155">
        <f t="shared" si="5"/>
        <v>0.76923076923076927</v>
      </c>
    </row>
    <row r="39" spans="1:13">
      <c r="A39" s="47" t="s">
        <v>143</v>
      </c>
      <c r="B39" s="48" t="s">
        <v>54</v>
      </c>
      <c r="C39" s="48" t="s">
        <v>162</v>
      </c>
      <c r="D39" s="107" t="s">
        <v>24</v>
      </c>
      <c r="E39" s="48">
        <v>25</v>
      </c>
      <c r="F39" s="49">
        <v>3096.7</v>
      </c>
      <c r="G39" s="50">
        <f t="shared" si="3"/>
        <v>0.20661157024793389</v>
      </c>
      <c r="H39" s="190">
        <v>0</v>
      </c>
      <c r="I39" s="191">
        <v>0</v>
      </c>
      <c r="J39" s="190">
        <f t="shared" si="4"/>
        <v>0</v>
      </c>
      <c r="K39" s="192">
        <v>0</v>
      </c>
      <c r="L39" s="191">
        <v>0</v>
      </c>
      <c r="M39" s="193">
        <f t="shared" si="5"/>
        <v>0</v>
      </c>
    </row>
    <row r="40" spans="1:13">
      <c r="A40" s="47" t="s">
        <v>143</v>
      </c>
      <c r="B40" s="48" t="s">
        <v>54</v>
      </c>
      <c r="C40" s="48" t="s">
        <v>162</v>
      </c>
      <c r="D40" s="109" t="s">
        <v>36</v>
      </c>
      <c r="E40" s="48">
        <v>24</v>
      </c>
      <c r="F40" s="49">
        <v>2972.9</v>
      </c>
      <c r="G40" s="50">
        <f t="shared" si="3"/>
        <v>0.19834710743801653</v>
      </c>
      <c r="H40" s="190">
        <v>0</v>
      </c>
      <c r="I40" s="191">
        <v>0</v>
      </c>
      <c r="J40" s="190">
        <f t="shared" si="4"/>
        <v>0</v>
      </c>
      <c r="K40" s="192">
        <v>0</v>
      </c>
      <c r="L40" s="191">
        <v>0</v>
      </c>
      <c r="M40" s="193">
        <f t="shared" si="5"/>
        <v>0</v>
      </c>
    </row>
    <row r="41" spans="1:13">
      <c r="A41" s="47" t="s">
        <v>143</v>
      </c>
      <c r="B41" s="48" t="s">
        <v>54</v>
      </c>
      <c r="C41" s="48" t="s">
        <v>162</v>
      </c>
      <c r="D41" s="110" t="s">
        <v>42</v>
      </c>
      <c r="E41" s="48">
        <v>6</v>
      </c>
      <c r="F41" s="49">
        <v>743.2</v>
      </c>
      <c r="G41" s="50">
        <f t="shared" si="3"/>
        <v>4.9586776859504134E-2</v>
      </c>
      <c r="H41" s="48">
        <v>1</v>
      </c>
      <c r="I41" s="49">
        <v>123.9</v>
      </c>
      <c r="J41" s="48">
        <f t="shared" si="4"/>
        <v>8.3333333333333329E-2</v>
      </c>
      <c r="K41" s="47">
        <v>1</v>
      </c>
      <c r="L41" s="49">
        <v>123.9</v>
      </c>
      <c r="M41" s="50">
        <f t="shared" si="5"/>
        <v>7.6923076923076927E-2</v>
      </c>
    </row>
    <row r="42" spans="1:13">
      <c r="A42" s="47" t="s">
        <v>143</v>
      </c>
      <c r="B42" s="48" t="s">
        <v>54</v>
      </c>
      <c r="C42" s="48" t="s">
        <v>162</v>
      </c>
      <c r="D42" s="108" t="s">
        <v>30</v>
      </c>
      <c r="E42" s="48">
        <v>5</v>
      </c>
      <c r="F42" s="49">
        <v>619.29999999999995</v>
      </c>
      <c r="G42" s="50">
        <f t="shared" si="3"/>
        <v>4.1322314049586778E-2</v>
      </c>
      <c r="H42" s="190">
        <v>0</v>
      </c>
      <c r="I42" s="191">
        <v>0</v>
      </c>
      <c r="J42" s="190">
        <f t="shared" si="4"/>
        <v>0</v>
      </c>
      <c r="K42" s="192">
        <v>0</v>
      </c>
      <c r="L42" s="191">
        <v>0</v>
      </c>
      <c r="M42" s="193">
        <f t="shared" si="5"/>
        <v>0</v>
      </c>
    </row>
    <row r="43" spans="1:13" ht="15.75" thickBot="1">
      <c r="A43" s="64" t="s">
        <v>143</v>
      </c>
      <c r="B43" s="65" t="s">
        <v>54</v>
      </c>
      <c r="C43" s="65" t="s">
        <v>162</v>
      </c>
      <c r="D43" s="119" t="s">
        <v>48</v>
      </c>
      <c r="E43" s="65">
        <v>5</v>
      </c>
      <c r="F43" s="66">
        <v>619.29999999999995</v>
      </c>
      <c r="G43" s="67">
        <f t="shared" si="3"/>
        <v>4.1322314049586778E-2</v>
      </c>
      <c r="H43" s="65">
        <v>2</v>
      </c>
      <c r="I43" s="66">
        <v>247.7</v>
      </c>
      <c r="J43" s="65">
        <f t="shared" si="4"/>
        <v>0.16666666666666666</v>
      </c>
      <c r="K43" s="64">
        <v>2</v>
      </c>
      <c r="L43" s="66">
        <v>247.7</v>
      </c>
      <c r="M43" s="67">
        <f t="shared" si="5"/>
        <v>0.15384615384615385</v>
      </c>
    </row>
    <row r="44" spans="1:13">
      <c r="A44" s="52" t="s">
        <v>180</v>
      </c>
      <c r="B44" s="53" t="s">
        <v>14</v>
      </c>
      <c r="C44" s="53" t="s">
        <v>199</v>
      </c>
      <c r="D44" s="113" t="s">
        <v>16</v>
      </c>
      <c r="E44" s="53">
        <v>6314</v>
      </c>
      <c r="F44" s="54">
        <v>20952.2</v>
      </c>
      <c r="G44" s="55">
        <f t="shared" si="3"/>
        <v>0.82331464336940929</v>
      </c>
      <c r="H44" s="53">
        <v>1812</v>
      </c>
      <c r="I44" s="54">
        <v>6012.9</v>
      </c>
      <c r="J44" s="129">
        <f t="shared" si="4"/>
        <v>0.88606356968215161</v>
      </c>
      <c r="K44" s="144">
        <v>2691</v>
      </c>
      <c r="L44" s="130">
        <v>8929.7000000000007</v>
      </c>
      <c r="M44" s="156">
        <f t="shared" si="5"/>
        <v>0.8742690058479532</v>
      </c>
    </row>
    <row r="45" spans="1:13">
      <c r="A45" s="52" t="s">
        <v>180</v>
      </c>
      <c r="B45" s="53" t="s">
        <v>14</v>
      </c>
      <c r="C45" s="53" t="s">
        <v>199</v>
      </c>
      <c r="D45" s="110" t="s">
        <v>42</v>
      </c>
      <c r="E45" s="53">
        <v>959</v>
      </c>
      <c r="F45" s="54">
        <v>3182.3</v>
      </c>
      <c r="G45" s="55">
        <f t="shared" si="3"/>
        <v>0.12504889816142914</v>
      </c>
      <c r="H45" s="53">
        <v>190</v>
      </c>
      <c r="I45" s="54">
        <v>630.5</v>
      </c>
      <c r="J45" s="53">
        <f t="shared" si="4"/>
        <v>9.2909535452322736E-2</v>
      </c>
      <c r="K45" s="52">
        <v>335</v>
      </c>
      <c r="L45" s="54">
        <v>1111.7</v>
      </c>
      <c r="M45" s="55">
        <f t="shared" si="5"/>
        <v>0.10883690708252111</v>
      </c>
    </row>
    <row r="46" spans="1:13">
      <c r="A46" s="52" t="s">
        <v>180</v>
      </c>
      <c r="B46" s="53" t="s">
        <v>14</v>
      </c>
      <c r="C46" s="53" t="s">
        <v>199</v>
      </c>
      <c r="D46" s="108" t="s">
        <v>30</v>
      </c>
      <c r="E46" s="53">
        <v>207</v>
      </c>
      <c r="F46" s="54">
        <v>686.9</v>
      </c>
      <c r="G46" s="55">
        <f t="shared" si="3"/>
        <v>2.6991785108879906E-2</v>
      </c>
      <c r="H46" s="53">
        <v>33</v>
      </c>
      <c r="I46" s="54">
        <v>109.5</v>
      </c>
      <c r="J46" s="53">
        <f t="shared" si="4"/>
        <v>1.6136919315403422E-2</v>
      </c>
      <c r="K46" s="52">
        <v>39</v>
      </c>
      <c r="L46" s="54">
        <v>129.4</v>
      </c>
      <c r="M46" s="55">
        <f t="shared" si="5"/>
        <v>1.2670565302144249E-2</v>
      </c>
    </row>
    <row r="47" spans="1:13">
      <c r="A47" s="52" t="s">
        <v>180</v>
      </c>
      <c r="B47" s="53" t="s">
        <v>14</v>
      </c>
      <c r="C47" s="53" t="s">
        <v>199</v>
      </c>
      <c r="D47" s="109" t="s">
        <v>36</v>
      </c>
      <c r="E47" s="53">
        <v>168</v>
      </c>
      <c r="F47" s="54">
        <v>557.5</v>
      </c>
      <c r="G47" s="55">
        <f t="shared" si="3"/>
        <v>2.1906376320250359E-2</v>
      </c>
      <c r="H47" s="53">
        <v>9</v>
      </c>
      <c r="I47" s="54">
        <v>29.9</v>
      </c>
      <c r="J47" s="53">
        <f t="shared" si="4"/>
        <v>4.4009779951100243E-3</v>
      </c>
      <c r="K47" s="52">
        <v>12</v>
      </c>
      <c r="L47" s="54">
        <v>39.799999999999997</v>
      </c>
      <c r="M47" s="55">
        <f t="shared" si="5"/>
        <v>3.8986354775828458E-3</v>
      </c>
    </row>
    <row r="48" spans="1:13">
      <c r="A48" s="52" t="s">
        <v>180</v>
      </c>
      <c r="B48" s="53" t="s">
        <v>14</v>
      </c>
      <c r="C48" s="53" t="s">
        <v>199</v>
      </c>
      <c r="D48" s="120" t="s">
        <v>48</v>
      </c>
      <c r="E48" s="53">
        <v>17</v>
      </c>
      <c r="F48" s="54">
        <v>56.4</v>
      </c>
      <c r="G48" s="55">
        <f t="shared" si="3"/>
        <v>2.2167166514539052E-3</v>
      </c>
      <c r="H48" s="186">
        <v>0</v>
      </c>
      <c r="I48" s="187">
        <v>0</v>
      </c>
      <c r="J48" s="186">
        <f t="shared" si="4"/>
        <v>0</v>
      </c>
      <c r="K48" s="188">
        <v>0</v>
      </c>
      <c r="L48" s="187">
        <v>0</v>
      </c>
      <c r="M48" s="189">
        <f t="shared" si="5"/>
        <v>0</v>
      </c>
    </row>
    <row r="49" spans="1:13">
      <c r="A49" s="89" t="s">
        <v>180</v>
      </c>
      <c r="B49" s="90" t="s">
        <v>14</v>
      </c>
      <c r="C49" s="90" t="s">
        <v>199</v>
      </c>
      <c r="D49" s="122" t="s">
        <v>24</v>
      </c>
      <c r="E49" s="90">
        <v>4</v>
      </c>
      <c r="F49" s="91">
        <v>13.3</v>
      </c>
      <c r="G49" s="92">
        <f t="shared" si="3"/>
        <v>5.2158038857738945E-4</v>
      </c>
      <c r="H49" s="90">
        <v>1</v>
      </c>
      <c r="I49" s="91">
        <v>3.3</v>
      </c>
      <c r="J49" s="53">
        <f t="shared" si="4"/>
        <v>4.8899755501222489E-4</v>
      </c>
      <c r="K49" s="52">
        <v>1</v>
      </c>
      <c r="L49" s="54">
        <v>3.3</v>
      </c>
      <c r="M49" s="55">
        <f t="shared" si="5"/>
        <v>3.2488628979857048E-4</v>
      </c>
    </row>
    <row r="50" spans="1:13">
      <c r="A50" s="56" t="s">
        <v>180</v>
      </c>
      <c r="B50" s="57" t="s">
        <v>54</v>
      </c>
      <c r="C50" s="57" t="s">
        <v>217</v>
      </c>
      <c r="D50" s="113" t="s">
        <v>16</v>
      </c>
      <c r="E50" s="57">
        <v>891</v>
      </c>
      <c r="F50" s="60">
        <v>16080.1</v>
      </c>
      <c r="G50" s="61">
        <f t="shared" si="3"/>
        <v>0.59479305740987987</v>
      </c>
      <c r="H50" s="57">
        <v>26</v>
      </c>
      <c r="I50" s="60">
        <v>469.2</v>
      </c>
      <c r="J50" s="131">
        <f t="shared" si="4"/>
        <v>0.78787878787878785</v>
      </c>
      <c r="K50" s="145">
        <v>33</v>
      </c>
      <c r="L50" s="132">
        <v>595.6</v>
      </c>
      <c r="M50" s="157">
        <f t="shared" si="5"/>
        <v>0.7857142857142857</v>
      </c>
    </row>
    <row r="51" spans="1:13">
      <c r="A51" s="56" t="s">
        <v>180</v>
      </c>
      <c r="B51" s="57" t="s">
        <v>54</v>
      </c>
      <c r="C51" s="57" t="s">
        <v>217</v>
      </c>
      <c r="D51" s="110" t="s">
        <v>42</v>
      </c>
      <c r="E51" s="57">
        <v>260</v>
      </c>
      <c r="F51" s="60">
        <v>4692.3</v>
      </c>
      <c r="G51" s="61">
        <f t="shared" si="3"/>
        <v>0.17356475300400534</v>
      </c>
      <c r="H51" s="57">
        <v>4</v>
      </c>
      <c r="I51" s="60">
        <v>72.2</v>
      </c>
      <c r="J51" s="57">
        <f t="shared" si="4"/>
        <v>0.12121212121212122</v>
      </c>
      <c r="K51" s="56">
        <v>6</v>
      </c>
      <c r="L51" s="60">
        <v>108.3</v>
      </c>
      <c r="M51" s="61">
        <f t="shared" si="5"/>
        <v>0.14285714285714285</v>
      </c>
    </row>
    <row r="52" spans="1:13">
      <c r="A52" s="56" t="s">
        <v>180</v>
      </c>
      <c r="B52" s="57" t="s">
        <v>54</v>
      </c>
      <c r="C52" s="57" t="s">
        <v>217</v>
      </c>
      <c r="D52" s="108" t="s">
        <v>30</v>
      </c>
      <c r="E52" s="57">
        <v>185</v>
      </c>
      <c r="F52" s="60">
        <v>3338.7</v>
      </c>
      <c r="G52" s="61">
        <f t="shared" si="3"/>
        <v>0.12349799732977303</v>
      </c>
      <c r="H52" s="57">
        <v>1</v>
      </c>
      <c r="I52" s="60">
        <v>18</v>
      </c>
      <c r="J52" s="57">
        <f t="shared" si="4"/>
        <v>3.0303030303030304E-2</v>
      </c>
      <c r="K52" s="56">
        <v>1</v>
      </c>
      <c r="L52" s="60">
        <v>18</v>
      </c>
      <c r="M52" s="61">
        <f t="shared" si="5"/>
        <v>2.3809523809523808E-2</v>
      </c>
    </row>
    <row r="53" spans="1:13">
      <c r="A53" s="56" t="s">
        <v>180</v>
      </c>
      <c r="B53" s="57" t="s">
        <v>54</v>
      </c>
      <c r="C53" s="57" t="s">
        <v>217</v>
      </c>
      <c r="D53" s="109" t="s">
        <v>36</v>
      </c>
      <c r="E53" s="57">
        <v>146</v>
      </c>
      <c r="F53" s="60">
        <v>2634.9</v>
      </c>
      <c r="G53" s="61">
        <f t="shared" si="3"/>
        <v>9.7463284379172233E-2</v>
      </c>
      <c r="H53" s="57">
        <v>1</v>
      </c>
      <c r="I53" s="60">
        <v>18</v>
      </c>
      <c r="J53" s="57">
        <f t="shared" si="4"/>
        <v>3.0303030303030304E-2</v>
      </c>
      <c r="K53" s="56">
        <v>1</v>
      </c>
      <c r="L53" s="60">
        <v>18</v>
      </c>
      <c r="M53" s="61">
        <f t="shared" si="5"/>
        <v>2.3809523809523808E-2</v>
      </c>
    </row>
    <row r="54" spans="1:13">
      <c r="A54" s="56" t="s">
        <v>180</v>
      </c>
      <c r="B54" s="57" t="s">
        <v>54</v>
      </c>
      <c r="C54" s="57" t="s">
        <v>217</v>
      </c>
      <c r="D54" s="107" t="s">
        <v>24</v>
      </c>
      <c r="E54" s="57">
        <v>14</v>
      </c>
      <c r="F54" s="60">
        <v>252.7</v>
      </c>
      <c r="G54" s="61">
        <f t="shared" si="3"/>
        <v>9.3457943925233638E-3</v>
      </c>
      <c r="H54" s="57">
        <v>1</v>
      </c>
      <c r="I54" s="60">
        <v>18</v>
      </c>
      <c r="J54" s="57">
        <f t="shared" si="4"/>
        <v>3.0303030303030304E-2</v>
      </c>
      <c r="K54" s="56">
        <v>1</v>
      </c>
      <c r="L54" s="60">
        <v>18</v>
      </c>
      <c r="M54" s="61">
        <f t="shared" si="5"/>
        <v>2.3809523809523808E-2</v>
      </c>
    </row>
    <row r="55" spans="1:13" ht="15.75" thickBot="1">
      <c r="A55" s="58" t="s">
        <v>180</v>
      </c>
      <c r="B55" s="59" t="s">
        <v>54</v>
      </c>
      <c r="C55" s="59" t="s">
        <v>217</v>
      </c>
      <c r="D55" s="119" t="s">
        <v>48</v>
      </c>
      <c r="E55" s="59">
        <v>2</v>
      </c>
      <c r="F55" s="62">
        <v>36.1</v>
      </c>
      <c r="G55" s="63">
        <f t="shared" si="3"/>
        <v>1.3351134846461949E-3</v>
      </c>
      <c r="H55" s="182">
        <v>0</v>
      </c>
      <c r="I55" s="183">
        <v>0</v>
      </c>
      <c r="J55" s="182">
        <f t="shared" si="4"/>
        <v>0</v>
      </c>
      <c r="K55" s="184">
        <v>0</v>
      </c>
      <c r="L55" s="183">
        <v>0</v>
      </c>
      <c r="M55" s="185">
        <f t="shared" si="5"/>
        <v>0</v>
      </c>
    </row>
  </sheetData>
  <mergeCells count="3">
    <mergeCell ref="E1:G1"/>
    <mergeCell ref="H1:J1"/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CA9D-900F-4004-A3F8-D555C4528D51}">
  <dimension ref="A1:E40"/>
  <sheetViews>
    <sheetView topLeftCell="A13" workbookViewId="0">
      <selection activeCell="B7" sqref="B7"/>
    </sheetView>
  </sheetViews>
  <sheetFormatPr defaultRowHeight="15"/>
  <cols>
    <col min="1" max="1" width="23.42578125" bestFit="1" customWidth="1"/>
    <col min="2" max="2" width="15.5703125" bestFit="1" customWidth="1"/>
    <col min="3" max="3" width="7.85546875" bestFit="1" customWidth="1"/>
    <col min="4" max="4" width="9.140625" bestFit="1" customWidth="1"/>
    <col min="5" max="5" width="10.42578125" bestFit="1" customWidth="1"/>
    <col min="6" max="6" width="24.42578125" bestFit="1" customWidth="1"/>
    <col min="7" max="7" width="23.42578125" bestFit="1" customWidth="1"/>
    <col min="8" max="8" width="28.85546875" bestFit="1" customWidth="1"/>
    <col min="9" max="9" width="28" bestFit="1" customWidth="1"/>
  </cols>
  <sheetData>
    <row r="1" spans="1:5">
      <c r="A1" s="4" t="s">
        <v>1</v>
      </c>
      <c r="B1" t="s">
        <v>131</v>
      </c>
    </row>
    <row r="3" spans="1:5">
      <c r="A3" s="4" t="s">
        <v>132</v>
      </c>
      <c r="B3" s="4" t="s">
        <v>133</v>
      </c>
    </row>
    <row r="4" spans="1:5">
      <c r="A4" s="4" t="s">
        <v>134</v>
      </c>
      <c r="B4" t="s">
        <v>71</v>
      </c>
      <c r="C4" t="s">
        <v>13</v>
      </c>
      <c r="D4" t="s">
        <v>89</v>
      </c>
      <c r="E4" t="s">
        <v>135</v>
      </c>
    </row>
    <row r="5" spans="1:5">
      <c r="A5" s="5" t="s">
        <v>30</v>
      </c>
      <c r="B5" s="6">
        <v>4.5300113250283124E-2</v>
      </c>
      <c r="C5" s="6">
        <v>4.630788485607009E-2</v>
      </c>
      <c r="D5" s="6">
        <v>9.7617541640312042E-2</v>
      </c>
      <c r="E5" s="6">
        <v>5.8948486457780142E-2</v>
      </c>
    </row>
    <row r="6" spans="1:5">
      <c r="A6" s="5" t="s">
        <v>36</v>
      </c>
      <c r="B6" s="6">
        <v>1.8875047187617969E-4</v>
      </c>
      <c r="C6" s="6">
        <v>9.7849584708157925E-3</v>
      </c>
      <c r="D6" s="6">
        <v>0.20472274931477968</v>
      </c>
      <c r="E6" s="6">
        <v>5.6186935740839085E-2</v>
      </c>
    </row>
    <row r="7" spans="1:5">
      <c r="A7" s="5" t="s">
        <v>24</v>
      </c>
      <c r="B7" s="6">
        <v>5.6625141562853911E-4</v>
      </c>
      <c r="C7" s="6">
        <v>0.11241324382751167</v>
      </c>
      <c r="D7" s="6">
        <v>0.12671305081172254</v>
      </c>
      <c r="E7" s="6">
        <v>8.4545937334041421E-2</v>
      </c>
    </row>
    <row r="8" spans="1:5">
      <c r="A8" s="5" t="s">
        <v>16</v>
      </c>
      <c r="B8" s="6">
        <v>0.95394488486221218</v>
      </c>
      <c r="C8" s="6">
        <v>0.82864944817385366</v>
      </c>
      <c r="D8" s="6">
        <v>0.51823740248787686</v>
      </c>
      <c r="E8" s="6">
        <v>0.7857142857142857</v>
      </c>
    </row>
    <row r="9" spans="1:5">
      <c r="A9" s="5" t="s">
        <v>48</v>
      </c>
      <c r="B9" s="6">
        <v>0</v>
      </c>
      <c r="C9" s="6">
        <v>5.6889293434975532E-4</v>
      </c>
      <c r="D9" s="6">
        <v>2.1716213367067257E-2</v>
      </c>
      <c r="E9" s="6">
        <v>5.7355284121083381E-3</v>
      </c>
    </row>
    <row r="10" spans="1:5">
      <c r="A10" s="5" t="s">
        <v>42</v>
      </c>
      <c r="B10" s="6">
        <v>0</v>
      </c>
      <c r="C10" s="6">
        <v>2.2755717373990213E-3</v>
      </c>
      <c r="D10" s="6">
        <v>3.099304237824162E-2</v>
      </c>
      <c r="E10" s="6">
        <v>8.8688263409452996E-3</v>
      </c>
    </row>
    <row r="11" spans="1:5">
      <c r="A11" s="5" t="s">
        <v>135</v>
      </c>
      <c r="B11" s="6">
        <v>1</v>
      </c>
      <c r="C11" s="6">
        <v>1</v>
      </c>
      <c r="D11" s="6">
        <v>1</v>
      </c>
      <c r="E11" s="6">
        <v>1</v>
      </c>
    </row>
    <row r="30" spans="1:2">
      <c r="A30" s="4" t="s">
        <v>1</v>
      </c>
      <c r="B30" t="s">
        <v>131</v>
      </c>
    </row>
    <row r="32" spans="1:2">
      <c r="A32" s="4" t="s">
        <v>132</v>
      </c>
      <c r="B32" s="4" t="s">
        <v>133</v>
      </c>
    </row>
    <row r="33" spans="1:5">
      <c r="A33" s="4" t="s">
        <v>134</v>
      </c>
      <c r="B33" t="s">
        <v>71</v>
      </c>
      <c r="C33" t="s">
        <v>13</v>
      </c>
      <c r="D33" t="s">
        <v>89</v>
      </c>
      <c r="E33" t="s">
        <v>135</v>
      </c>
    </row>
    <row r="34" spans="1:5">
      <c r="A34" s="5" t="s">
        <v>30</v>
      </c>
      <c r="B34" s="6">
        <v>0.21621621621621623</v>
      </c>
      <c r="C34" s="6">
        <v>0.36666666666666664</v>
      </c>
      <c r="D34" s="6">
        <v>0.41711711711711713</v>
      </c>
      <c r="E34" s="6">
        <v>1</v>
      </c>
    </row>
    <row r="35" spans="1:5">
      <c r="A35" s="5" t="s">
        <v>36</v>
      </c>
      <c r="B35" s="6">
        <v>9.4517958412098301E-4</v>
      </c>
      <c r="C35" s="6">
        <v>8.1285444234404536E-2</v>
      </c>
      <c r="D35" s="6">
        <v>0.91776937618147447</v>
      </c>
      <c r="E35" s="6">
        <v>1</v>
      </c>
    </row>
    <row r="36" spans="1:5">
      <c r="A36" s="5" t="s">
        <v>24</v>
      </c>
      <c r="B36" s="6">
        <v>1.8844221105527637E-3</v>
      </c>
      <c r="C36" s="6">
        <v>0.62060301507537685</v>
      </c>
      <c r="D36" s="6">
        <v>0.37751256281407036</v>
      </c>
      <c r="E36" s="6">
        <v>1</v>
      </c>
    </row>
    <row r="37" spans="1:5">
      <c r="A37" s="5" t="s">
        <v>16</v>
      </c>
      <c r="B37" s="6">
        <v>0.34160189253126055</v>
      </c>
      <c r="C37" s="6">
        <v>0.49226089895234876</v>
      </c>
      <c r="D37" s="6">
        <v>0.16613720851639066</v>
      </c>
      <c r="E37" s="6">
        <v>1</v>
      </c>
    </row>
    <row r="38" spans="1:5">
      <c r="A38" s="5" t="s">
        <v>48</v>
      </c>
      <c r="B38" s="6">
        <v>0</v>
      </c>
      <c r="C38" s="6">
        <v>4.6296296296296294E-2</v>
      </c>
      <c r="D38" s="6">
        <v>0.95370370370370372</v>
      </c>
      <c r="E38" s="6">
        <v>1</v>
      </c>
    </row>
    <row r="39" spans="1:5">
      <c r="A39" s="5" t="s">
        <v>42</v>
      </c>
      <c r="B39" s="6">
        <v>0</v>
      </c>
      <c r="C39" s="6">
        <v>0.11976047904191617</v>
      </c>
      <c r="D39" s="6">
        <v>0.88023952095808389</v>
      </c>
      <c r="E39" s="6">
        <v>1</v>
      </c>
    </row>
    <row r="40" spans="1:5">
      <c r="A40" s="5" t="s">
        <v>135</v>
      </c>
      <c r="B40" s="6">
        <v>0.28135953266064789</v>
      </c>
      <c r="C40" s="6">
        <v>0.46675517790759424</v>
      </c>
      <c r="D40" s="6">
        <v>0.25188528943175781</v>
      </c>
      <c r="E40" s="6">
        <v>1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1FC7-FC76-4806-88F4-4B2B1CA27707}">
  <dimension ref="A2:L8"/>
  <sheetViews>
    <sheetView topLeftCell="A37" zoomScaleNormal="100" workbookViewId="0">
      <selection activeCell="L67" sqref="L67"/>
    </sheetView>
  </sheetViews>
  <sheetFormatPr defaultRowHeight="15"/>
  <sheetData>
    <row r="2" spans="1:12">
      <c r="A2" s="1" t="s">
        <v>136</v>
      </c>
      <c r="B2" s="1" t="s">
        <v>139</v>
      </c>
      <c r="C2" s="1" t="s">
        <v>140</v>
      </c>
      <c r="D2" s="1" t="s">
        <v>137</v>
      </c>
      <c r="E2" s="1" t="s">
        <v>138</v>
      </c>
      <c r="F2" s="1" t="s">
        <v>237</v>
      </c>
      <c r="G2" s="1" t="s">
        <v>238</v>
      </c>
      <c r="H2" s="1" t="s">
        <v>239</v>
      </c>
      <c r="I2" s="1" t="s">
        <v>141</v>
      </c>
      <c r="J2" s="1" t="s">
        <v>142</v>
      </c>
      <c r="K2" s="1" t="s">
        <v>235</v>
      </c>
      <c r="L2" s="1" t="s">
        <v>236</v>
      </c>
    </row>
    <row r="3" spans="1:12">
      <c r="A3" t="s">
        <v>16</v>
      </c>
      <c r="B3">
        <v>0.97372013651877132</v>
      </c>
      <c r="C3">
        <v>0.92947635135135132</v>
      </c>
      <c r="D3">
        <v>0.84490800725576576</v>
      </c>
      <c r="E3">
        <v>0.71148459383753504</v>
      </c>
      <c r="F3">
        <v>0.83864893491820647</v>
      </c>
      <c r="G3">
        <v>0.82331464336940929</v>
      </c>
      <c r="H3">
        <v>0.59479305740987987</v>
      </c>
      <c r="I3">
        <v>0.54529170931422721</v>
      </c>
      <c r="J3">
        <v>0.39161676646706589</v>
      </c>
      <c r="K3">
        <v>0.84542032622333751</v>
      </c>
      <c r="L3">
        <v>0.46280991735537191</v>
      </c>
    </row>
    <row r="4" spans="1:12">
      <c r="A4" t="s">
        <v>24</v>
      </c>
      <c r="B4">
        <v>0</v>
      </c>
      <c r="C4">
        <v>1.266891891891892E-3</v>
      </c>
      <c r="D4">
        <v>0.10158072039388442</v>
      </c>
      <c r="E4">
        <v>0.19047619047619047</v>
      </c>
      <c r="F4">
        <v>8.2382017182535013E-4</v>
      </c>
      <c r="G4">
        <v>5.2158038857738945E-4</v>
      </c>
      <c r="H4">
        <v>9.3457943925233638E-3</v>
      </c>
      <c r="I4">
        <v>0.10926305015353122</v>
      </c>
      <c r="J4">
        <v>0.20838323353293414</v>
      </c>
      <c r="K4">
        <v>6.148055207026349E-2</v>
      </c>
      <c r="L4">
        <v>0.20661157024793389</v>
      </c>
    </row>
    <row r="5" spans="1:12">
      <c r="A5" t="s">
        <v>30</v>
      </c>
      <c r="B5">
        <v>2.6279863481228669E-2</v>
      </c>
      <c r="C5">
        <v>6.8834459459459457E-2</v>
      </c>
      <c r="D5">
        <v>4.0684115055713913E-2</v>
      </c>
      <c r="E5">
        <v>8.683473389355742E-2</v>
      </c>
      <c r="F5">
        <v>2.8951394609862305E-2</v>
      </c>
      <c r="G5">
        <v>2.6991785108879906E-2</v>
      </c>
      <c r="H5">
        <v>0.12349799732977303</v>
      </c>
      <c r="I5">
        <v>8.5209825997952918E-2</v>
      </c>
      <c r="J5">
        <v>0.15568862275449102</v>
      </c>
      <c r="K5">
        <v>2.0577164366373902E-2</v>
      </c>
      <c r="L5">
        <v>4.1322314049586778E-2</v>
      </c>
    </row>
    <row r="6" spans="1:12">
      <c r="A6" s="93" t="s">
        <v>36</v>
      </c>
      <c r="B6">
        <v>0</v>
      </c>
      <c r="C6">
        <v>4.2229729729729732E-4</v>
      </c>
      <c r="D6">
        <v>9.8471106504275721E-3</v>
      </c>
      <c r="E6">
        <v>9.3370681605975722E-3</v>
      </c>
      <c r="F6">
        <v>1.9536306931858302E-2</v>
      </c>
      <c r="G6">
        <v>2.1906376320250359E-2</v>
      </c>
      <c r="H6">
        <v>9.7463284379172233E-2</v>
      </c>
      <c r="I6">
        <v>0.21136131013306039</v>
      </c>
      <c r="J6">
        <v>0.17365269461077845</v>
      </c>
      <c r="K6">
        <v>5.520702634880803E-2</v>
      </c>
      <c r="L6">
        <v>0.19834710743801653</v>
      </c>
    </row>
    <row r="7" spans="1:12">
      <c r="A7" t="s">
        <v>42</v>
      </c>
      <c r="B7">
        <v>0</v>
      </c>
      <c r="C7">
        <v>0</v>
      </c>
      <c r="D7">
        <v>2.3322104172065301E-3</v>
      </c>
      <c r="E7">
        <v>1.8674136321195146E-3</v>
      </c>
      <c r="F7">
        <v>0.11109803460044722</v>
      </c>
      <c r="G7">
        <v>0.12504889816142914</v>
      </c>
      <c r="H7">
        <v>0.17356475300400534</v>
      </c>
      <c r="I7">
        <v>2.7635619242579325E-2</v>
      </c>
      <c r="J7">
        <v>4.6706586826347304E-2</v>
      </c>
      <c r="K7">
        <v>3.7641154328732747E-3</v>
      </c>
      <c r="L7">
        <v>4.9586776859504134E-2</v>
      </c>
    </row>
    <row r="8" spans="1:12">
      <c r="A8" t="s">
        <v>48</v>
      </c>
      <c r="B8">
        <v>0</v>
      </c>
      <c r="C8">
        <v>0</v>
      </c>
      <c r="D8">
        <v>6.4783622700181399E-4</v>
      </c>
      <c r="E8">
        <v>0</v>
      </c>
      <c r="F8">
        <v>9.4150876780040016E-4</v>
      </c>
      <c r="G8">
        <v>2.2167166514539052E-3</v>
      </c>
      <c r="H8">
        <v>1.3351134846461949E-3</v>
      </c>
      <c r="I8">
        <v>2.1238485158648925E-2</v>
      </c>
      <c r="J8">
        <v>2.3952095808383235E-2</v>
      </c>
      <c r="K8">
        <v>1.3550815558343789E-2</v>
      </c>
      <c r="L8">
        <v>4.1322314049586778E-2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BF7C-A48D-4DEA-A5C7-801F783E15CB}">
  <dimension ref="A1:G52"/>
  <sheetViews>
    <sheetView tabSelected="1" topLeftCell="A27" workbookViewId="0">
      <selection activeCell="F46" sqref="F46"/>
    </sheetView>
  </sheetViews>
  <sheetFormatPr defaultRowHeight="15"/>
  <cols>
    <col min="1" max="1" width="4.5703125" bestFit="1" customWidth="1"/>
    <col min="3" max="3" width="13.5703125" bestFit="1" customWidth="1"/>
    <col min="5" max="5" width="15.85546875" bestFit="1" customWidth="1"/>
    <col min="6" max="6" width="15.28515625" bestFit="1" customWidth="1"/>
    <col min="7" max="7" width="201.7109375" bestFit="1" customWidth="1"/>
  </cols>
  <sheetData>
    <row r="1" spans="1:7" ht="15.75" thickBot="1">
      <c r="D1" s="204" t="s">
        <v>282</v>
      </c>
      <c r="E1" s="205" t="s">
        <v>284</v>
      </c>
      <c r="F1" s="205" t="s">
        <v>285</v>
      </c>
      <c r="G1" s="206" t="s">
        <v>283</v>
      </c>
    </row>
    <row r="2" spans="1:7">
      <c r="A2" t="s">
        <v>16</v>
      </c>
      <c r="B2" t="s">
        <v>16</v>
      </c>
      <c r="D2" s="100" t="s">
        <v>280</v>
      </c>
      <c r="E2" s="101" t="s">
        <v>278</v>
      </c>
      <c r="F2" s="101" t="s">
        <v>16</v>
      </c>
      <c r="G2" s="102" t="s">
        <v>244</v>
      </c>
    </row>
    <row r="3" spans="1:7">
      <c r="A3" t="s">
        <v>24</v>
      </c>
      <c r="B3" t="s">
        <v>24</v>
      </c>
      <c r="D3" s="214" t="s">
        <v>280</v>
      </c>
      <c r="E3" s="215" t="s">
        <v>278</v>
      </c>
      <c r="F3" s="215" t="s">
        <v>30</v>
      </c>
      <c r="G3" s="216" t="s">
        <v>245</v>
      </c>
    </row>
    <row r="4" spans="1:7">
      <c r="A4" t="s">
        <v>30</v>
      </c>
      <c r="B4" t="s">
        <v>30</v>
      </c>
      <c r="D4" s="207" t="s">
        <v>281</v>
      </c>
      <c r="E4" s="202" t="s">
        <v>279</v>
      </c>
      <c r="F4" s="202" t="s">
        <v>16</v>
      </c>
      <c r="G4" s="208" t="s">
        <v>86</v>
      </c>
    </row>
    <row r="5" spans="1:7" ht="15.75" thickBot="1">
      <c r="A5" t="s">
        <v>36</v>
      </c>
      <c r="B5" t="s">
        <v>36</v>
      </c>
      <c r="D5" s="209" t="s">
        <v>281</v>
      </c>
      <c r="E5" s="210" t="s">
        <v>279</v>
      </c>
      <c r="F5" s="210" t="s">
        <v>30</v>
      </c>
      <c r="G5" s="211" t="s">
        <v>246</v>
      </c>
    </row>
    <row r="6" spans="1:7" ht="15.75" thickBot="1">
      <c r="A6" t="s">
        <v>42</v>
      </c>
      <c r="B6" t="s">
        <v>42</v>
      </c>
      <c r="D6" s="207"/>
      <c r="E6" s="202"/>
      <c r="F6" s="202"/>
      <c r="G6" s="208"/>
    </row>
    <row r="7" spans="1:7">
      <c r="A7" t="s">
        <v>48</v>
      </c>
      <c r="B7" t="s">
        <v>48</v>
      </c>
      <c r="D7" s="100" t="s">
        <v>280</v>
      </c>
      <c r="E7" s="101" t="s">
        <v>247</v>
      </c>
      <c r="F7" s="101" t="s">
        <v>16</v>
      </c>
      <c r="G7" s="102" t="s">
        <v>249</v>
      </c>
    </row>
    <row r="8" spans="1:7">
      <c r="D8" s="217" t="s">
        <v>280</v>
      </c>
      <c r="E8" s="218" t="s">
        <v>247</v>
      </c>
      <c r="F8" s="218" t="s">
        <v>48</v>
      </c>
      <c r="G8" s="113" t="s">
        <v>179</v>
      </c>
    </row>
    <row r="9" spans="1:7">
      <c r="D9" s="214" t="s">
        <v>280</v>
      </c>
      <c r="E9" s="215" t="s">
        <v>247</v>
      </c>
      <c r="F9" s="215" t="s">
        <v>42</v>
      </c>
      <c r="G9" s="216" t="s">
        <v>250</v>
      </c>
    </row>
    <row r="10" spans="1:7">
      <c r="D10" s="207" t="s">
        <v>281</v>
      </c>
      <c r="E10" s="202" t="s">
        <v>248</v>
      </c>
      <c r="F10" s="202" t="s">
        <v>16</v>
      </c>
      <c r="G10" s="208" t="s">
        <v>146</v>
      </c>
    </row>
    <row r="11" spans="1:7">
      <c r="D11" s="207" t="s">
        <v>281</v>
      </c>
      <c r="E11" s="202" t="s">
        <v>248</v>
      </c>
      <c r="F11" s="202" t="s">
        <v>48</v>
      </c>
      <c r="G11" s="208" t="s">
        <v>158</v>
      </c>
    </row>
    <row r="12" spans="1:7">
      <c r="D12" s="207" t="s">
        <v>281</v>
      </c>
      <c r="E12" s="202" t="s">
        <v>248</v>
      </c>
      <c r="F12" s="202" t="s">
        <v>36</v>
      </c>
      <c r="G12" s="208" t="s">
        <v>251</v>
      </c>
    </row>
    <row r="13" spans="1:7" ht="15.75" thickBot="1">
      <c r="D13" s="209" t="s">
        <v>281</v>
      </c>
      <c r="E13" s="210" t="s">
        <v>248</v>
      </c>
      <c r="F13" s="210" t="s">
        <v>42</v>
      </c>
      <c r="G13" s="211" t="s">
        <v>252</v>
      </c>
    </row>
    <row r="14" spans="1:7" ht="15.75" thickBot="1">
      <c r="D14" s="207"/>
      <c r="E14" s="202"/>
      <c r="F14" s="202"/>
      <c r="G14" s="208"/>
    </row>
    <row r="15" spans="1:7">
      <c r="D15" s="100" t="s">
        <v>281</v>
      </c>
      <c r="E15" s="101" t="s">
        <v>253</v>
      </c>
      <c r="F15" s="101" t="s">
        <v>16</v>
      </c>
      <c r="G15" s="102" t="s">
        <v>254</v>
      </c>
    </row>
    <row r="16" spans="1:7">
      <c r="D16" s="214" t="s">
        <v>281</v>
      </c>
      <c r="E16" s="215" t="s">
        <v>253</v>
      </c>
      <c r="F16" s="215" t="s">
        <v>48</v>
      </c>
      <c r="G16" s="216" t="s">
        <v>53</v>
      </c>
    </row>
    <row r="17" spans="4:7" ht="15.75" thickBot="1">
      <c r="D17" s="209" t="s">
        <v>280</v>
      </c>
      <c r="E17" s="210" t="s">
        <v>255</v>
      </c>
      <c r="F17" s="210" t="s">
        <v>16</v>
      </c>
      <c r="G17" s="211" t="s">
        <v>256</v>
      </c>
    </row>
    <row r="18" spans="4:7" ht="15.75" thickBot="1">
      <c r="D18" s="207"/>
      <c r="E18" s="202"/>
      <c r="F18" s="202"/>
      <c r="G18" s="208"/>
    </row>
    <row r="19" spans="4:7">
      <c r="D19" s="100" t="s">
        <v>281</v>
      </c>
      <c r="E19" s="101" t="s">
        <v>257</v>
      </c>
      <c r="F19" s="101" t="s">
        <v>16</v>
      </c>
      <c r="G19" s="102" t="s">
        <v>258</v>
      </c>
    </row>
    <row r="20" spans="4:7">
      <c r="D20" s="207" t="s">
        <v>281</v>
      </c>
      <c r="E20" s="202" t="s">
        <v>257</v>
      </c>
      <c r="F20" s="202" t="s">
        <v>42</v>
      </c>
      <c r="G20" s="208" t="s">
        <v>259</v>
      </c>
    </row>
    <row r="21" spans="4:7">
      <c r="D21" s="207" t="s">
        <v>281</v>
      </c>
      <c r="E21" s="202" t="s">
        <v>257</v>
      </c>
      <c r="F21" s="202" t="s">
        <v>30</v>
      </c>
      <c r="G21" s="208" t="s">
        <v>260</v>
      </c>
    </row>
    <row r="22" spans="4:7">
      <c r="D22" s="207" t="s">
        <v>281</v>
      </c>
      <c r="E22" s="202" t="s">
        <v>257</v>
      </c>
      <c r="F22" s="202" t="s">
        <v>36</v>
      </c>
      <c r="G22" s="208" t="s">
        <v>261</v>
      </c>
    </row>
    <row r="23" spans="4:7">
      <c r="D23" s="212" t="s">
        <v>281</v>
      </c>
      <c r="E23" s="203" t="s">
        <v>257</v>
      </c>
      <c r="F23" s="203" t="s">
        <v>24</v>
      </c>
      <c r="G23" s="213" t="s">
        <v>262</v>
      </c>
    </row>
    <row r="24" spans="4:7">
      <c r="D24" s="207" t="s">
        <v>280</v>
      </c>
      <c r="E24" s="202" t="s">
        <v>263</v>
      </c>
      <c r="F24" s="202" t="s">
        <v>16</v>
      </c>
      <c r="G24" s="208" t="s">
        <v>264</v>
      </c>
    </row>
    <row r="25" spans="4:7">
      <c r="D25" s="217" t="s">
        <v>280</v>
      </c>
      <c r="E25" s="218" t="s">
        <v>263</v>
      </c>
      <c r="F25" s="218" t="s">
        <v>42</v>
      </c>
      <c r="G25" s="113" t="s">
        <v>265</v>
      </c>
    </row>
    <row r="26" spans="4:7">
      <c r="D26" s="217" t="s">
        <v>280</v>
      </c>
      <c r="E26" s="218" t="s">
        <v>263</v>
      </c>
      <c r="F26" s="218" t="s">
        <v>24</v>
      </c>
      <c r="G26" s="113" t="s">
        <v>266</v>
      </c>
    </row>
    <row r="27" spans="4:7">
      <c r="D27" s="217" t="s">
        <v>280</v>
      </c>
      <c r="E27" s="218" t="s">
        <v>263</v>
      </c>
      <c r="F27" s="218" t="s">
        <v>30</v>
      </c>
      <c r="G27" s="113" t="s">
        <v>267</v>
      </c>
    </row>
    <row r="28" spans="4:7" ht="15.75" thickBot="1">
      <c r="D28" s="219" t="s">
        <v>280</v>
      </c>
      <c r="E28" s="220" t="s">
        <v>263</v>
      </c>
      <c r="F28" s="220" t="s">
        <v>36</v>
      </c>
      <c r="G28" s="221" t="s">
        <v>268</v>
      </c>
    </row>
    <row r="29" spans="4:7" ht="15.75" thickBot="1">
      <c r="D29" s="207"/>
      <c r="E29" s="202"/>
      <c r="F29" s="202"/>
      <c r="G29" s="208"/>
    </row>
    <row r="30" spans="4:7">
      <c r="D30" s="100" t="s">
        <v>281</v>
      </c>
      <c r="E30" s="101" t="s">
        <v>269</v>
      </c>
      <c r="F30" s="101" t="s">
        <v>16</v>
      </c>
      <c r="G30" s="102" t="s">
        <v>93</v>
      </c>
    </row>
    <row r="31" spans="4:7">
      <c r="D31" s="207" t="s">
        <v>281</v>
      </c>
      <c r="E31" s="202" t="s">
        <v>269</v>
      </c>
      <c r="F31" s="202" t="s">
        <v>36</v>
      </c>
      <c r="G31" s="208" t="s">
        <v>96</v>
      </c>
    </row>
    <row r="32" spans="4:7">
      <c r="D32" s="207" t="s">
        <v>281</v>
      </c>
      <c r="E32" s="202" t="s">
        <v>269</v>
      </c>
      <c r="F32" s="202" t="s">
        <v>24</v>
      </c>
      <c r="G32" s="208" t="s">
        <v>270</v>
      </c>
    </row>
    <row r="33" spans="3:7">
      <c r="D33" s="207" t="s">
        <v>281</v>
      </c>
      <c r="E33" s="202" t="s">
        <v>269</v>
      </c>
      <c r="F33" s="202" t="s">
        <v>42</v>
      </c>
      <c r="G33" s="208" t="s">
        <v>105</v>
      </c>
    </row>
    <row r="34" spans="3:7">
      <c r="D34" s="207" t="s">
        <v>281</v>
      </c>
      <c r="E34" s="202" t="s">
        <v>269</v>
      </c>
      <c r="F34" s="202" t="s">
        <v>48</v>
      </c>
      <c r="G34" s="208" t="s">
        <v>108</v>
      </c>
    </row>
    <row r="35" spans="3:7">
      <c r="D35" s="212" t="s">
        <v>281</v>
      </c>
      <c r="E35" s="203" t="s">
        <v>269</v>
      </c>
      <c r="F35" s="203" t="s">
        <v>30</v>
      </c>
      <c r="G35" s="213" t="s">
        <v>102</v>
      </c>
    </row>
    <row r="36" spans="3:7">
      <c r="D36" s="207" t="s">
        <v>280</v>
      </c>
      <c r="E36" s="202" t="s">
        <v>271</v>
      </c>
      <c r="F36" s="202" t="s">
        <v>16</v>
      </c>
      <c r="G36" s="208" t="s">
        <v>272</v>
      </c>
    </row>
    <row r="37" spans="3:7">
      <c r="D37" s="207" t="s">
        <v>280</v>
      </c>
      <c r="E37" s="202" t="s">
        <v>271</v>
      </c>
      <c r="F37" s="202" t="s">
        <v>24</v>
      </c>
      <c r="G37" s="208" t="s">
        <v>273</v>
      </c>
    </row>
    <row r="38" spans="3:7">
      <c r="D38" s="207" t="s">
        <v>280</v>
      </c>
      <c r="E38" s="202" t="s">
        <v>271</v>
      </c>
      <c r="F38" s="202" t="s">
        <v>36</v>
      </c>
      <c r="G38" s="208" t="s">
        <v>274</v>
      </c>
    </row>
    <row r="39" spans="3:7">
      <c r="D39" s="207" t="s">
        <v>280</v>
      </c>
      <c r="E39" s="202" t="s">
        <v>271</v>
      </c>
      <c r="F39" s="202" t="s">
        <v>42</v>
      </c>
      <c r="G39" s="208" t="s">
        <v>275</v>
      </c>
    </row>
    <row r="40" spans="3:7">
      <c r="D40" s="207" t="s">
        <v>280</v>
      </c>
      <c r="E40" s="202" t="s">
        <v>271</v>
      </c>
      <c r="F40" s="202" t="s">
        <v>30</v>
      </c>
      <c r="G40" s="208" t="s">
        <v>276</v>
      </c>
    </row>
    <row r="41" spans="3:7" ht="15.75" thickBot="1">
      <c r="D41" s="209" t="s">
        <v>280</v>
      </c>
      <c r="E41" s="210" t="s">
        <v>271</v>
      </c>
      <c r="F41" s="210" t="s">
        <v>48</v>
      </c>
      <c r="G41" s="211" t="s">
        <v>277</v>
      </c>
    </row>
    <row r="45" spans="3:7">
      <c r="C45" s="222" t="s">
        <v>286</v>
      </c>
      <c r="D45" s="222" t="s">
        <v>245</v>
      </c>
      <c r="E45" s="222"/>
      <c r="F45" s="222"/>
    </row>
    <row r="46" spans="3:7">
      <c r="C46" s="222" t="s">
        <v>289</v>
      </c>
      <c r="D46" s="222" t="s">
        <v>179</v>
      </c>
      <c r="E46" s="222"/>
      <c r="F46" s="222"/>
    </row>
    <row r="47" spans="3:7">
      <c r="C47" s="222" t="s">
        <v>288</v>
      </c>
      <c r="D47" s="222" t="s">
        <v>250</v>
      </c>
      <c r="E47" s="222"/>
      <c r="F47" s="222"/>
    </row>
    <row r="48" spans="3:7">
      <c r="C48" s="222" t="s">
        <v>287</v>
      </c>
      <c r="D48" s="222" t="s">
        <v>53</v>
      </c>
      <c r="E48" s="222"/>
      <c r="F48" s="222"/>
    </row>
    <row r="49" spans="3:6">
      <c r="C49" s="222" t="s">
        <v>290</v>
      </c>
      <c r="D49" s="222" t="s">
        <v>265</v>
      </c>
      <c r="E49" s="222"/>
      <c r="F49" s="222"/>
    </row>
    <row r="50" spans="3:6">
      <c r="C50" s="222" t="s">
        <v>291</v>
      </c>
      <c r="D50" s="222" t="s">
        <v>266</v>
      </c>
      <c r="E50" s="222"/>
      <c r="F50" s="222"/>
    </row>
    <row r="51" spans="3:6">
      <c r="C51" s="222" t="s">
        <v>292</v>
      </c>
      <c r="D51" s="222" t="s">
        <v>267</v>
      </c>
      <c r="E51" s="222"/>
      <c r="F51" s="222"/>
    </row>
    <row r="52" spans="3:6">
      <c r="C52" s="222" t="s">
        <v>293</v>
      </c>
      <c r="D52" s="222" t="s">
        <v>268</v>
      </c>
      <c r="E52" s="222"/>
      <c r="F52" s="2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stats</vt:lpstr>
      <vt:lpstr>charts_1</vt:lpstr>
      <vt:lpstr>charts_2</vt:lpstr>
      <vt:lpstr>examples_nouns_oct25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Nives Hüll</dc:creator>
  <cp:keywords/>
  <dc:description/>
  <cp:lastModifiedBy>Nives Hüll</cp:lastModifiedBy>
  <cp:revision/>
  <dcterms:created xsi:type="dcterms:W3CDTF">2025-02-22T10:15:01Z</dcterms:created>
  <dcterms:modified xsi:type="dcterms:W3CDTF">2025-10-03T11:47:03Z</dcterms:modified>
  <cp:category/>
  <cp:contentStatus/>
</cp:coreProperties>
</file>