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nh23084_student_uni-lj_si/Documents/Študentsko delo/SPOT/WALS/"/>
    </mc:Choice>
  </mc:AlternateContent>
  <xr:revisionPtr revIDLastSave="123" documentId="8_{8E05F84F-E55A-459E-AEF8-2AAE70E7C38A}" xr6:coauthVersionLast="47" xr6:coauthVersionMax="47" xr10:uidLastSave="{71DBE6CC-EA1F-4839-A7C7-68C45344E086}"/>
  <bookViews>
    <workbookView xWindow="2660" yWindow="2660" windowWidth="19200" windowHeight="11250" activeTab="1" xr2:uid="{8FB6BFDA-6A02-47E1-B373-6B48540B2C67}"/>
  </bookViews>
  <sheets>
    <sheet name="all" sheetId="1" r:id="rId1"/>
    <sheet name="stats" sheetId="5" r:id="rId2"/>
    <sheet name="char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" i="5"/>
</calcChain>
</file>

<file path=xl/sharedStrings.xml><?xml version="1.0" encoding="utf-8"?>
<sst xmlns="http://schemas.openxmlformats.org/spreadsheetml/2006/main" count="339" uniqueCount="116">
  <si>
    <t>Language</t>
  </si>
  <si>
    <t>Corpus Type</t>
  </si>
  <si>
    <t>Pattern</t>
  </si>
  <si>
    <t>Tree</t>
  </si>
  <si>
    <t>Absolute frequency</t>
  </si>
  <si>
    <t>Relative frequency</t>
  </si>
  <si>
    <t>Order</t>
  </si>
  <si>
    <t>Grew-match query</t>
  </si>
  <si>
    <t>Grew-match URL</t>
  </si>
  <si>
    <t>Number of nodes</t>
  </si>
  <si>
    <t>Head node</t>
  </si>
  <si>
    <t>Example</t>
  </si>
  <si>
    <t>French</t>
  </si>
  <si>
    <t>written</t>
  </si>
  <si>
    <t>VO</t>
  </si>
  <si>
    <t>_ &gt;obj _</t>
  </si>
  <si>
    <t>27955.2</t>
  </si>
  <si>
    <t>AB</t>
  </si>
  <si>
    <t>pattern {A []; B []; A -[obj]-&gt; B; A &lt;&lt; B}</t>
  </si>
  <si>
    <t>http://universal.grew.fr/?corpus=UD_French-GSD&amp;request=pattern%20%7BA%20%5B%5D%3B%20B%20%5B%5D%3B%20A%20-%5Bobj%5D-%3E%20B%3B%20A%20%3C%3C%20B%7D</t>
  </si>
  <si>
    <t>_</t>
  </si>
  <si>
    <t xml:space="preserve">Trois ans plus tard, il A[tient] un B[discours] sur la crise. </t>
  </si>
  <si>
    <t>OV</t>
  </si>
  <si>
    <t>_ &lt;obj _</t>
  </si>
  <si>
    <t>4780.3</t>
  </si>
  <si>
    <t>pattern {B []; A []; B -[obj]-&gt; A; B &gt;&gt; A}</t>
  </si>
  <si>
    <t>http://universal.grew.fr/?corpus=UD_French-GSD&amp;request=pattern%20%7BB%20%5B%5D%3B%20A%20%5B%5D%3B%20B%20-%5Bobj%5D-%3E%20A%3B%20B%20%3E%3E%20A%7D</t>
  </si>
  <si>
    <t xml:space="preserve">N'hésitez-pas à A[la] faire B[circuler] largement autour de vous ! </t>
  </si>
  <si>
    <t>spoken</t>
  </si>
  <si>
    <t>28977.0</t>
  </si>
  <si>
    <t>http://universal.grew.fr/?corpus=UD_French-Rhapsodie&amp;request=pattern%20%7BA%20%5B%5D%3B%20B%20%5B%5D%3B%20A%20-%5Bobj%5D-%3E%20B%3B%20A%20%3C%3C%20B%7D</t>
  </si>
  <si>
    <t xml:space="preserve">vous n'A[avez] pas autour de vous cette B[impression] que… </t>
  </si>
  <si>
    <t>10058.3</t>
  </si>
  <si>
    <t>http://universal.grew.fr/?corpus=UD_French-Rhapsodie&amp;request=pattern%20%7BB%20%5B%5D%3B%20A%20%5B%5D%3B%20B%20-%5Bobj%5D-%3E%20A%3B%20B%20%3E%3E%20A%7D</t>
  </si>
  <si>
    <t xml:space="preserve">ben, c'est moi qui A[les] ai B[payés]. </t>
  </si>
  <si>
    <t>English</t>
  </si>
  <si>
    <t>42377.3</t>
  </si>
  <si>
    <t>http://universal.grew.fr/?corpus=UD_English-GUM&amp;request=pattern%20%7BA%20%5B%5D%3B%20B%20%5B%5D%3B%20A%20-%5Bobj%5D-%3E%20B%3B%20A%20%3C%3C%20B%7D</t>
  </si>
  <si>
    <t xml:space="preserve">Sociologists have A[explored] the adverse B[consequences] of discrimination [3 – 5]; </t>
  </si>
  <si>
    <t>671.8</t>
  </si>
  <si>
    <t>http://universal.grew.fr/?corpus=UD_English-GUM&amp;request=pattern%20%7BB%20%5B%5D%3B%20A%20%5B%5D%3B%20B%20-%5Bobj%5D-%3E%20A%3B%20B%20%3E%3E%20A%7D</t>
  </si>
  <si>
    <t xml:space="preserve">A[Williams], she B[guessed]. </t>
  </si>
  <si>
    <t>44742.4</t>
  </si>
  <si>
    <t xml:space="preserve">Well I finally A[found] some B[people] there I can dance with. </t>
  </si>
  <si>
    <t>2248.9</t>
  </si>
  <si>
    <t xml:space="preserve">Specifically, A[what] would you have B[done] differently? </t>
  </si>
  <si>
    <t>Slovenian</t>
  </si>
  <si>
    <t>26233.9</t>
  </si>
  <si>
    <t>http://universal.grew.fr/?corpus=UD_Slovenian-SSJ&amp;request=pattern%20%7BA%20%5B%5D%3B%20B%20%5B%5D%3B%20A%20-%5Bobj%5D-%3E%20B%3B%20A%20%3C%3C%20B%7D</t>
  </si>
  <si>
    <t xml:space="preserve">Deloma se strinjam z drugim delom članka, ko A[opisuje] finančne B[učinke] reforme. </t>
  </si>
  <si>
    <t>15582.4</t>
  </si>
  <si>
    <t>http://universal.grew.fr/?corpus=UD_Slovenian-SSJ&amp;request=pattern%20%7BB%20%5B%5D%3B%20A%20%5B%5D%3B%20B%20-%5Bobj%5D-%3E%20A%3B%20B%20%3E%3E%20A%7D</t>
  </si>
  <si>
    <t xml:space="preserve">A[Krompir] B[operemo], skuhamo, olupimo in pretlačimo. </t>
  </si>
  <si>
    <t>17440.3</t>
  </si>
  <si>
    <t>http://universal.grew.fr/?corpus=UD_Slovenian-SST&amp;request=pattern%20%7BB%20%5B%5D%3B%20A%20%5B%5D%3B%20B%20-%5Bobj%5D-%3E%20A%3B%20B%20%3E%3E%20A%7D</t>
  </si>
  <si>
    <t xml:space="preserve">no , sedaj A[jim] je B[uspelo] , recimo . </t>
  </si>
  <si>
    <t>17226.8</t>
  </si>
  <si>
    <t>http://universal.grew.fr/?corpus=UD_Slovenian-SST&amp;request=pattern%20%7BA%20%5B%5D%3B%20B%20%5B%5D%3B%20A%20-%5Bobj%5D-%3E%20B%3B%20A%20%3C%3C%20B%7D</t>
  </si>
  <si>
    <t xml:space="preserve">jaz bom A[dal] pa še majčkeno B[timijana] . </t>
  </si>
  <si>
    <t>Corpus</t>
  </si>
  <si>
    <t>Proportion in Corpus</t>
  </si>
  <si>
    <t>Rhapsodie</t>
  </si>
  <si>
    <t>GUM-W</t>
  </si>
  <si>
    <t>GUM-S</t>
  </si>
  <si>
    <t>SSJ</t>
  </si>
  <si>
    <t>SST</t>
  </si>
  <si>
    <t>Word Order</t>
  </si>
  <si>
    <t>French Written</t>
  </si>
  <si>
    <t>French Spoken</t>
  </si>
  <si>
    <t>English Written</t>
  </si>
  <si>
    <t>English Spoken</t>
  </si>
  <si>
    <t>Slovenian Written</t>
  </si>
  <si>
    <t>Slovenian Spoken</t>
  </si>
  <si>
    <t>Spanish</t>
  </si>
  <si>
    <t>28178.9</t>
  </si>
  <si>
    <t>http://universal.grew.fr/?corpus=UD_Spanish-GSD&amp;request=pattern%20%7BA%20%5B%5D%3B%20B%20%5B%5D%3B%20A%20-%5Bobj%5D-%3E%20B%3B%20A%20%3C%3C%20B%7D</t>
  </si>
  <si>
    <t xml:space="preserve">Su actuación A[recibió] buenas B[reseñas], a el igual que el filme. </t>
  </si>
  <si>
    <t>2912.4</t>
  </si>
  <si>
    <t>http://universal.grew.fr/?corpus=UD_Spanish-GSD&amp;request=pattern%20%7BB%20%5B%5D%3B%20A%20%5B%5D%3B%20B%20-%5Bobj%5D-%3E%20A%3B%20B%20%3E%3E%20A%7D</t>
  </si>
  <si>
    <t xml:space="preserve">Así A[lo] B[hizo] por casi tres meses. </t>
  </si>
  <si>
    <t>38275.7</t>
  </si>
  <si>
    <t>http://universal.grew.fr/?corpus=UD_Spanish-COSER&amp;request=pattern%20%7BA%20%5B%5D%3B%20B%20%5B%5D%3B%20A%20-%5Bobj%5D-%3E%20B%3B%20A%20%3C%3C%20B%7D</t>
  </si>
  <si>
    <t xml:space="preserve">Se le A[echa]... B[vinagre], ¿sabes? </t>
  </si>
  <si>
    <t>23411.4</t>
  </si>
  <si>
    <t>http://universal.grew.fr/?corpus=UD_Spanish-COSER&amp;request=pattern%20%7BB%20%5B%5D%3B%20A%20%5B%5D%3B%20B%20-%5Bobj%5D-%3E%20A%3B%20B%20%3E%3E%20A%7D</t>
  </si>
  <si>
    <t xml:space="preserve">¿A[Olivo] por aquí B[hay]? </t>
  </si>
  <si>
    <t>Norwegian (bokmaal)</t>
  </si>
  <si>
    <t>42176.4</t>
  </si>
  <si>
    <t>http://universal.grew.fr/?corpus=UD_Norwegian-Bokmaal&amp;request=pattern%20%7BA%20%5B%5D%3B%20B%20%5B%5D%3B%20A%20-%5Bobj%5D-%3E%20B%3B%20A%20%3C%3C%20B%7D</t>
  </si>
  <si>
    <t xml:space="preserve">Jeg A[ser] et B[landskap] som er såret og i tilbaketrekning. </t>
  </si>
  <si>
    <t>1447.4</t>
  </si>
  <si>
    <t>http://universal.grew.fr/?corpus=UD_Norwegian-Bokmaal&amp;request=pattern%20%7BB%20%5B%5D%3B%20A%20%5B%5D%3B%20B%20-%5Bobj%5D-%3E%20A%3B%20B%20%3E%3E%20A%7D</t>
  </si>
  <si>
    <t xml:space="preserve">Eller A[hva] B[tror] du? </t>
  </si>
  <si>
    <t>Norwegian (nynorsk)</t>
  </si>
  <si>
    <t>39810.5</t>
  </si>
  <si>
    <t>http://universal.grew.fr/?corpus=UD_Norwegian-Nynorsk&amp;request=pattern%20%7BA%20%5B%5D%3B%20B%20%5B%5D%3B%20A%20-%5Bobj%5D-%3E%20B%3B%20A%20%3C%3C%20B%7D</t>
  </si>
  <si>
    <t xml:space="preserve">Det var veldig triveleg, og vi A[fekk] også god B[kake] etterpå. </t>
  </si>
  <si>
    <t>1373.8</t>
  </si>
  <si>
    <t>http://universal.grew.fr/?corpus=UD_Norwegian-Nynorsk&amp;request=pattern%20%7BB%20%5B%5D%3B%20A%20%5B%5D%3B%20B%20-%5Bobj%5D-%3E%20A%3B%20B%20%3E%3E%20A%7D</t>
  </si>
  <si>
    <t xml:space="preserve">Kva A[grunnar] B[har] han for det han seier? </t>
  </si>
  <si>
    <t>28280.1</t>
  </si>
  <si>
    <t xml:space="preserve">ja A[hugsar] du nokre B[sånne] ? </t>
  </si>
  <si>
    <t>6641.4</t>
  </si>
  <si>
    <t xml:space="preserve">A[det] måtte vi B[lesse] utor sjølv ja . </t>
  </si>
  <si>
    <t>Norwegian (bokmål)</t>
  </si>
  <si>
    <t>Bokmaal</t>
  </si>
  <si>
    <t>Nynorsk</t>
  </si>
  <si>
    <t>NynorskLIA</t>
  </si>
  <si>
    <t>GSD-ES</t>
  </si>
  <si>
    <t>COSER</t>
  </si>
  <si>
    <t>GSD-FR</t>
  </si>
  <si>
    <t>Norwegian Written (bokmaal)</t>
  </si>
  <si>
    <t>Norwegian Written (nynorsk)</t>
  </si>
  <si>
    <t>Norwegian Spoken (nynorsk)</t>
  </si>
  <si>
    <t>Spanish Written</t>
  </si>
  <si>
    <t>Spanish Spoken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</si>
</sst>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6" borderId="4" xfId="0" applyFill="1" applyBorder="1"/>
    <xf numFmtId="0" fontId="0" fillId="6" borderId="5" xfId="0" applyFill="1" applyBorder="1"/>
    <xf numFmtId="0" fontId="0" fillId="8" borderId="7" xfId="0" applyFill="1" applyBorder="1"/>
    <xf numFmtId="0" fontId="0" fillId="9" borderId="2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2" borderId="0" xfId="0" applyFill="1"/>
    <xf numFmtId="0" fontId="0" fillId="8" borderId="0" xfId="0" applyFill="1"/>
    <xf numFmtId="0" fontId="0" fillId="4" borderId="0" xfId="0" applyFill="1"/>
    <xf numFmtId="0" fontId="0" fillId="9" borderId="0" xfId="0" applyFill="1"/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4" borderId="6" xfId="0" applyFill="1" applyBorder="1"/>
    <xf numFmtId="0" fontId="0" fillId="14" borderId="7" xfId="0" applyFill="1" applyBorder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3" borderId="4" xfId="0" applyFill="1" applyBorder="1"/>
    <xf numFmtId="0" fontId="0" fillId="5" borderId="4" xfId="0" applyFill="1" applyBorder="1"/>
    <xf numFmtId="0" fontId="0" fillId="7" borderId="4" xfId="0" applyFill="1" applyBorder="1"/>
    <xf numFmtId="0" fontId="0" fillId="3" borderId="5" xfId="0" applyFill="1" applyBorder="1"/>
    <xf numFmtId="0" fontId="0" fillId="5" borderId="5" xfId="0" applyFill="1" applyBorder="1"/>
    <xf numFmtId="0" fontId="0" fillId="7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5" xfId="0" applyFill="1" applyBorder="1"/>
    <xf numFmtId="0" fontId="0" fillId="13" borderId="5" xfId="0" applyFill="1" applyBorder="1"/>
    <xf numFmtId="0" fontId="0" fillId="14" borderId="5" xfId="0" applyFill="1" applyBorder="1"/>
    <xf numFmtId="0" fontId="0" fillId="1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Object-Verb Word</a:t>
            </a:r>
            <a:r>
              <a:rPr lang="af-ZA" baseline="0"/>
              <a:t> Order</a:t>
            </a:r>
            <a:endParaRPr lang="af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charts!$B$1:$L$1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charts!$B$2:$L$2</c:f>
              <c:numCache>
                <c:formatCode>General</c:formatCode>
                <c:ptCount val="11"/>
                <c:pt idx="0">
                  <c:v>0.98439439616953361</c:v>
                </c:pt>
                <c:pt idx="1">
                  <c:v>0.95214304496450175</c:v>
                </c:pt>
                <c:pt idx="2">
                  <c:v>0.85397116044861521</c:v>
                </c:pt>
                <c:pt idx="3">
                  <c:v>0.74232773595830925</c:v>
                </c:pt>
                <c:pt idx="4">
                  <c:v>0.96682184290253459</c:v>
                </c:pt>
                <c:pt idx="5">
                  <c:v>0.96664249456127627</c:v>
                </c:pt>
                <c:pt idx="6">
                  <c:v>0.80981912144702839</c:v>
                </c:pt>
                <c:pt idx="7">
                  <c:v>0.6273614468618498</c:v>
                </c:pt>
                <c:pt idx="8">
                  <c:v>0.49692172383465261</c:v>
                </c:pt>
                <c:pt idx="9">
                  <c:v>0.90632684998882185</c:v>
                </c:pt>
                <c:pt idx="10">
                  <c:v>0.62048192771084343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A58-A2A6-4078466E51B5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charts!$B$1:$L$1</c:f>
              <c:strCache>
                <c:ptCount val="11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  <c:pt idx="6">
                  <c:v>Norwegian Spoken (nynorsk)</c:v>
                </c:pt>
                <c:pt idx="7">
                  <c:v>Slovenian Written</c:v>
                </c:pt>
                <c:pt idx="8">
                  <c:v>Slovenian Spoken</c:v>
                </c:pt>
                <c:pt idx="9">
                  <c:v>Spanish Written</c:v>
                </c:pt>
                <c:pt idx="10">
                  <c:v>Spanish Spoken</c:v>
                </c:pt>
              </c:strCache>
            </c:strRef>
          </c:cat>
          <c:val>
            <c:numRef>
              <c:f>charts!$B$3:$L$3</c:f>
              <c:numCache>
                <c:formatCode>General</c:formatCode>
                <c:ptCount val="11"/>
                <c:pt idx="0">
                  <c:v>1.5605603830466394E-2</c:v>
                </c:pt>
                <c:pt idx="1">
                  <c:v>4.7856955035498291E-2</c:v>
                </c:pt>
                <c:pt idx="2">
                  <c:v>0.14602883955138476</c:v>
                </c:pt>
                <c:pt idx="3">
                  <c:v>0.2576722640416908</c:v>
                </c:pt>
                <c:pt idx="4">
                  <c:v>3.3178157097465452E-2</c:v>
                </c:pt>
                <c:pt idx="5">
                  <c:v>3.3357505438723713E-2</c:v>
                </c:pt>
                <c:pt idx="6">
                  <c:v>0.19018087855297158</c:v>
                </c:pt>
                <c:pt idx="7">
                  <c:v>0.37263855313815025</c:v>
                </c:pt>
                <c:pt idx="8">
                  <c:v>0.50307827616534739</c:v>
                </c:pt>
                <c:pt idx="9">
                  <c:v>9.367315001117818E-2</c:v>
                </c:pt>
                <c:pt idx="10">
                  <c:v>0.37951807228915663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2-4A58-A2A6-4078466E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56800"/>
        <c:axId val="856171680"/>
      </c:barChart>
      <c:catAx>
        <c:axId val="85615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71680"/>
        <c:crosses val="autoZero"/>
        <c:auto val="1"/>
        <c:lblAlgn val="ctr"/>
        <c:lblOffset val="100"/>
        <c:noMultiLvlLbl val="0"/>
      </c:catAx>
      <c:valAx>
        <c:axId val="8561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5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Object-Verb Word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charts!$A$2</c:f>
              <c:strCache>
                <c:ptCount val="1"/>
                <c:pt idx="0">
                  <c:v>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</c:strCache>
            </c:strRef>
          </c:cat>
          <c:val>
            <c:numRef>
              <c:f>charts!$B$2:$G$2</c:f>
              <c:numCache>
                <c:formatCode>General</c:formatCode>
                <c:ptCount val="6"/>
                <c:pt idx="0">
                  <c:v>0.98439439616953361</c:v>
                </c:pt>
                <c:pt idx="1">
                  <c:v>0.95214304496450175</c:v>
                </c:pt>
                <c:pt idx="2">
                  <c:v>0.85397116044861521</c:v>
                </c:pt>
                <c:pt idx="3">
                  <c:v>0.74232773595830925</c:v>
                </c:pt>
                <c:pt idx="4">
                  <c:v>0.96682184290253459</c:v>
                </c:pt>
                <c:pt idx="5">
                  <c:v>0.96664249456127627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3-43C1-A66D-1837D165260A}"/>
            </c:ext>
          </c:extLst>
        </c:ser>
        <c:ser>
          <c:idx val="1"/>
          <c:order val="1"/>
          <c:tx>
            <c:strRef>
              <c:f>charts!$A$3</c:f>
              <c:strCache>
                <c:ptCount val="1"/>
                <c:pt idx="0">
                  <c:v>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charts!$B$1:$G$1</c:f>
              <c:strCache>
                <c:ptCount val="6"/>
                <c:pt idx="0">
                  <c:v>English Written</c:v>
                </c:pt>
                <c:pt idx="1">
                  <c:v>English Spoken</c:v>
                </c:pt>
                <c:pt idx="2">
                  <c:v>French Written</c:v>
                </c:pt>
                <c:pt idx="3">
                  <c:v>French Spoken</c:v>
                </c:pt>
                <c:pt idx="4">
                  <c:v>Norwegian Written (bokmaal)</c:v>
                </c:pt>
                <c:pt idx="5">
                  <c:v>Norwegian Written (nynorsk)</c:v>
                </c:pt>
              </c:strCache>
            </c:strRef>
          </c:cat>
          <c:val>
            <c:numRef>
              <c:f>charts!$B$3:$G$3</c:f>
              <c:numCache>
                <c:formatCode>General</c:formatCode>
                <c:ptCount val="6"/>
                <c:pt idx="0">
                  <c:v>1.5605603830466394E-2</c:v>
                </c:pt>
                <c:pt idx="1">
                  <c:v>4.7856955035498291E-2</c:v>
                </c:pt>
                <c:pt idx="2">
                  <c:v>0.14602883955138476</c:v>
                </c:pt>
                <c:pt idx="3">
                  <c:v>0.2576722640416908</c:v>
                </c:pt>
                <c:pt idx="4">
                  <c:v>3.3178157097465452E-2</c:v>
                </c:pt>
                <c:pt idx="5">
                  <c:v>3.3357505438723713E-2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3-43C1-A66D-1837D165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129440"/>
        <c:axId val="856126560"/>
      </c:barChart>
      <c:catAx>
        <c:axId val="85612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6560"/>
        <c:crosses val="autoZero"/>
        <c:auto val="1"/>
        <c:lblAlgn val="ctr"/>
        <c:lblOffset val="100"/>
        <c:noMultiLvlLbl val="0"/>
      </c:catAx>
      <c:valAx>
        <c:axId val="85612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85612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22411</xdr:rowOff>
    </xdr:from>
    <xdr:to>
      <xdr:col>11</xdr:col>
      <xdr:colOff>72840</xdr:colOff>
      <xdr:row>26</xdr:row>
      <xdr:rowOff>21291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CCEE8-15F2-925F-7BF4-3C63D180F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123263</xdr:colOff>
      <xdr:row>26</xdr:row>
      <xdr:rowOff>179294</xdr:rowOff>
    </xdr:from>
    <xdr:to>
      <xdr:col>11</xdr:col>
      <xdr:colOff>89646</xdr:colOff>
      <xdr:row>44</xdr:row>
      <xdr:rowOff>66114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1BB3B8-BAAC-2C91-8977-11514BA3E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E7B7-D429-4476-81D3-24AF00F0BF21}">
  <dimension ref="A1:L23"/>
  <sheetViews>
    <sheetView workbookViewId="0">
      <selection activeCell="E14" sqref="E14:F2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11193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 t="s">
        <v>20</v>
      </c>
      <c r="L2" t="s">
        <v>21</v>
      </c>
    </row>
    <row r="3" spans="1:12" x14ac:dyDescent="0.35">
      <c r="A3" t="s">
        <v>12</v>
      </c>
      <c r="B3" t="s">
        <v>13</v>
      </c>
      <c r="C3" t="s">
        <v>22</v>
      </c>
      <c r="D3" t="s">
        <v>23</v>
      </c>
      <c r="E3">
        <v>1914</v>
      </c>
      <c r="F3" t="s">
        <v>24</v>
      </c>
      <c r="G3" t="s">
        <v>17</v>
      </c>
      <c r="H3" t="s">
        <v>25</v>
      </c>
      <c r="I3" t="s">
        <v>26</v>
      </c>
      <c r="J3">
        <v>2</v>
      </c>
      <c r="K3" t="s">
        <v>20</v>
      </c>
      <c r="L3" t="s">
        <v>27</v>
      </c>
    </row>
    <row r="4" spans="1:12" x14ac:dyDescent="0.35">
      <c r="A4" t="s">
        <v>12</v>
      </c>
      <c r="B4" t="s">
        <v>28</v>
      </c>
      <c r="C4" t="s">
        <v>14</v>
      </c>
      <c r="D4" t="s">
        <v>15</v>
      </c>
      <c r="E4">
        <v>1282</v>
      </c>
      <c r="F4" t="s">
        <v>29</v>
      </c>
      <c r="G4" t="s">
        <v>17</v>
      </c>
      <c r="H4" t="s">
        <v>18</v>
      </c>
      <c r="I4" t="s">
        <v>30</v>
      </c>
      <c r="J4">
        <v>2</v>
      </c>
      <c r="K4" t="s">
        <v>20</v>
      </c>
      <c r="L4" t="s">
        <v>31</v>
      </c>
    </row>
    <row r="5" spans="1:12" x14ac:dyDescent="0.35">
      <c r="A5" t="s">
        <v>12</v>
      </c>
      <c r="B5" t="s">
        <v>28</v>
      </c>
      <c r="C5" t="s">
        <v>22</v>
      </c>
      <c r="D5" t="s">
        <v>23</v>
      </c>
      <c r="E5">
        <v>445</v>
      </c>
      <c r="F5" t="s">
        <v>32</v>
      </c>
      <c r="G5" t="s">
        <v>17</v>
      </c>
      <c r="H5" t="s">
        <v>25</v>
      </c>
      <c r="I5" t="s">
        <v>33</v>
      </c>
      <c r="J5">
        <v>2</v>
      </c>
      <c r="K5" t="s">
        <v>20</v>
      </c>
      <c r="L5" t="s">
        <v>34</v>
      </c>
    </row>
    <row r="6" spans="1:12" x14ac:dyDescent="0.35">
      <c r="A6" t="s">
        <v>35</v>
      </c>
      <c r="B6" t="s">
        <v>13</v>
      </c>
      <c r="C6" t="s">
        <v>14</v>
      </c>
      <c r="D6" t="s">
        <v>15</v>
      </c>
      <c r="E6">
        <v>5551</v>
      </c>
      <c r="F6" t="s">
        <v>36</v>
      </c>
      <c r="G6" t="s">
        <v>17</v>
      </c>
      <c r="H6" t="s">
        <v>18</v>
      </c>
      <c r="I6" t="s">
        <v>37</v>
      </c>
      <c r="J6">
        <v>2</v>
      </c>
      <c r="K6" t="s">
        <v>20</v>
      </c>
      <c r="L6" t="s">
        <v>38</v>
      </c>
    </row>
    <row r="7" spans="1:12" x14ac:dyDescent="0.35">
      <c r="A7" t="s">
        <v>35</v>
      </c>
      <c r="B7" t="s">
        <v>13</v>
      </c>
      <c r="C7" t="s">
        <v>22</v>
      </c>
      <c r="D7" t="s">
        <v>23</v>
      </c>
      <c r="E7">
        <v>88</v>
      </c>
      <c r="F7" t="s">
        <v>39</v>
      </c>
      <c r="G7" t="s">
        <v>17</v>
      </c>
      <c r="H7" t="s">
        <v>25</v>
      </c>
      <c r="I7" t="s">
        <v>40</v>
      </c>
      <c r="J7">
        <v>2</v>
      </c>
      <c r="K7" t="s">
        <v>20</v>
      </c>
      <c r="L7" t="s">
        <v>41</v>
      </c>
    </row>
    <row r="8" spans="1:12" x14ac:dyDescent="0.35">
      <c r="A8" t="s">
        <v>35</v>
      </c>
      <c r="B8" t="s">
        <v>28</v>
      </c>
      <c r="C8" t="s">
        <v>14</v>
      </c>
      <c r="D8" t="s">
        <v>15</v>
      </c>
      <c r="E8">
        <v>3621</v>
      </c>
      <c r="F8" t="s">
        <v>42</v>
      </c>
      <c r="G8" t="s">
        <v>17</v>
      </c>
      <c r="H8" t="s">
        <v>18</v>
      </c>
      <c r="I8" t="s">
        <v>37</v>
      </c>
      <c r="J8">
        <v>2</v>
      </c>
      <c r="K8" t="s">
        <v>20</v>
      </c>
      <c r="L8" t="s">
        <v>43</v>
      </c>
    </row>
    <row r="9" spans="1:12" x14ac:dyDescent="0.35">
      <c r="A9" t="s">
        <v>35</v>
      </c>
      <c r="B9" t="s">
        <v>28</v>
      </c>
      <c r="C9" t="s">
        <v>22</v>
      </c>
      <c r="D9" t="s">
        <v>23</v>
      </c>
      <c r="E9">
        <v>182</v>
      </c>
      <c r="F9" t="s">
        <v>44</v>
      </c>
      <c r="G9" t="s">
        <v>17</v>
      </c>
      <c r="H9" t="s">
        <v>25</v>
      </c>
      <c r="I9" t="s">
        <v>40</v>
      </c>
      <c r="J9">
        <v>2</v>
      </c>
      <c r="K9" t="s">
        <v>20</v>
      </c>
      <c r="L9" t="s">
        <v>45</v>
      </c>
    </row>
    <row r="10" spans="1:12" x14ac:dyDescent="0.35">
      <c r="A10" t="s">
        <v>46</v>
      </c>
      <c r="B10" t="s">
        <v>13</v>
      </c>
      <c r="C10" t="s">
        <v>14</v>
      </c>
      <c r="D10" t="s">
        <v>15</v>
      </c>
      <c r="E10">
        <v>7007</v>
      </c>
      <c r="F10" t="s">
        <v>47</v>
      </c>
      <c r="G10" t="s">
        <v>17</v>
      </c>
      <c r="H10" t="s">
        <v>18</v>
      </c>
      <c r="I10" t="s">
        <v>48</v>
      </c>
      <c r="J10">
        <v>2</v>
      </c>
      <c r="K10" t="s">
        <v>20</v>
      </c>
      <c r="L10" t="s">
        <v>49</v>
      </c>
    </row>
    <row r="11" spans="1:12" x14ac:dyDescent="0.35">
      <c r="A11" t="s">
        <v>46</v>
      </c>
      <c r="B11" t="s">
        <v>13</v>
      </c>
      <c r="C11" t="s">
        <v>22</v>
      </c>
      <c r="D11" t="s">
        <v>23</v>
      </c>
      <c r="E11">
        <v>4162</v>
      </c>
      <c r="F11" t="s">
        <v>50</v>
      </c>
      <c r="G11" t="s">
        <v>17</v>
      </c>
      <c r="H11" t="s">
        <v>25</v>
      </c>
      <c r="I11" t="s">
        <v>51</v>
      </c>
      <c r="J11">
        <v>2</v>
      </c>
      <c r="K11" t="s">
        <v>20</v>
      </c>
      <c r="L11" t="s">
        <v>52</v>
      </c>
    </row>
    <row r="12" spans="1:12" x14ac:dyDescent="0.35">
      <c r="A12" t="s">
        <v>46</v>
      </c>
      <c r="B12" t="s">
        <v>28</v>
      </c>
      <c r="C12" t="s">
        <v>22</v>
      </c>
      <c r="D12" t="s">
        <v>23</v>
      </c>
      <c r="E12">
        <v>1716</v>
      </c>
      <c r="F12" t="s">
        <v>53</v>
      </c>
      <c r="G12" t="s">
        <v>17</v>
      </c>
      <c r="H12" t="s">
        <v>25</v>
      </c>
      <c r="I12" t="s">
        <v>54</v>
      </c>
      <c r="J12">
        <v>2</v>
      </c>
      <c r="K12" t="s">
        <v>20</v>
      </c>
      <c r="L12" t="s">
        <v>55</v>
      </c>
    </row>
    <row r="13" spans="1:12" x14ac:dyDescent="0.35">
      <c r="A13" t="s">
        <v>46</v>
      </c>
      <c r="B13" t="s">
        <v>28</v>
      </c>
      <c r="C13" t="s">
        <v>14</v>
      </c>
      <c r="D13" t="s">
        <v>15</v>
      </c>
      <c r="E13">
        <v>1695</v>
      </c>
      <c r="F13" t="s">
        <v>56</v>
      </c>
      <c r="G13" t="s">
        <v>17</v>
      </c>
      <c r="H13" t="s">
        <v>18</v>
      </c>
      <c r="I13" t="s">
        <v>57</v>
      </c>
      <c r="J13">
        <v>2</v>
      </c>
      <c r="K13" t="s">
        <v>20</v>
      </c>
      <c r="L13" t="s">
        <v>58</v>
      </c>
    </row>
    <row r="14" spans="1:12" x14ac:dyDescent="0.35">
      <c r="A14" t="s">
        <v>73</v>
      </c>
      <c r="B14" t="s">
        <v>13</v>
      </c>
      <c r="C14" t="s">
        <v>14</v>
      </c>
      <c r="D14" t="s">
        <v>15</v>
      </c>
      <c r="E14">
        <v>12162</v>
      </c>
      <c r="F14" t="s">
        <v>74</v>
      </c>
      <c r="G14" t="s">
        <v>17</v>
      </c>
      <c r="H14" t="s">
        <v>18</v>
      </c>
      <c r="I14" t="s">
        <v>75</v>
      </c>
      <c r="J14">
        <v>2</v>
      </c>
      <c r="K14" t="s">
        <v>20</v>
      </c>
      <c r="L14" t="s">
        <v>76</v>
      </c>
    </row>
    <row r="15" spans="1:12" x14ac:dyDescent="0.35">
      <c r="A15" t="s">
        <v>73</v>
      </c>
      <c r="B15" t="s">
        <v>13</v>
      </c>
      <c r="C15" t="s">
        <v>22</v>
      </c>
      <c r="D15" t="s">
        <v>23</v>
      </c>
      <c r="E15">
        <v>1257</v>
      </c>
      <c r="F15" t="s">
        <v>77</v>
      </c>
      <c r="G15" t="s">
        <v>17</v>
      </c>
      <c r="H15" t="s">
        <v>25</v>
      </c>
      <c r="I15" t="s">
        <v>78</v>
      </c>
      <c r="J15">
        <v>2</v>
      </c>
      <c r="K15" t="s">
        <v>20</v>
      </c>
      <c r="L15" t="s">
        <v>79</v>
      </c>
    </row>
    <row r="16" spans="1:12" x14ac:dyDescent="0.35">
      <c r="A16" t="s">
        <v>73</v>
      </c>
      <c r="B16" t="s">
        <v>28</v>
      </c>
      <c r="C16" t="s">
        <v>14</v>
      </c>
      <c r="D16" t="s">
        <v>15</v>
      </c>
      <c r="E16">
        <v>309</v>
      </c>
      <c r="F16" t="s">
        <v>80</v>
      </c>
      <c r="G16" t="s">
        <v>17</v>
      </c>
      <c r="H16" t="s">
        <v>18</v>
      </c>
      <c r="I16" t="s">
        <v>81</v>
      </c>
      <c r="J16">
        <v>2</v>
      </c>
      <c r="K16" t="s">
        <v>20</v>
      </c>
      <c r="L16" t="s">
        <v>82</v>
      </c>
    </row>
    <row r="17" spans="1:12" x14ac:dyDescent="0.35">
      <c r="A17" t="s">
        <v>73</v>
      </c>
      <c r="B17" t="s">
        <v>28</v>
      </c>
      <c r="C17" t="s">
        <v>22</v>
      </c>
      <c r="D17" t="s">
        <v>23</v>
      </c>
      <c r="E17">
        <v>189</v>
      </c>
      <c r="F17" t="s">
        <v>83</v>
      </c>
      <c r="G17" t="s">
        <v>17</v>
      </c>
      <c r="H17" t="s">
        <v>25</v>
      </c>
      <c r="I17" t="s">
        <v>84</v>
      </c>
      <c r="J17">
        <v>2</v>
      </c>
      <c r="K17" t="s">
        <v>20</v>
      </c>
      <c r="L17" t="s">
        <v>85</v>
      </c>
    </row>
    <row r="18" spans="1:12" x14ac:dyDescent="0.35">
      <c r="A18" t="s">
        <v>86</v>
      </c>
      <c r="B18" t="s">
        <v>13</v>
      </c>
      <c r="C18" t="s">
        <v>14</v>
      </c>
      <c r="D18" t="s">
        <v>15</v>
      </c>
      <c r="E18">
        <v>13084</v>
      </c>
      <c r="F18" t="s">
        <v>87</v>
      </c>
      <c r="G18" t="s">
        <v>17</v>
      </c>
      <c r="H18" t="s">
        <v>18</v>
      </c>
      <c r="I18" t="s">
        <v>88</v>
      </c>
      <c r="J18">
        <v>2</v>
      </c>
      <c r="K18" t="s">
        <v>20</v>
      </c>
      <c r="L18" t="s">
        <v>89</v>
      </c>
    </row>
    <row r="19" spans="1:12" x14ac:dyDescent="0.35">
      <c r="A19" t="s">
        <v>86</v>
      </c>
      <c r="B19" t="s">
        <v>13</v>
      </c>
      <c r="C19" t="s">
        <v>22</v>
      </c>
      <c r="D19" t="s">
        <v>23</v>
      </c>
      <c r="E19">
        <v>449</v>
      </c>
      <c r="F19" t="s">
        <v>90</v>
      </c>
      <c r="G19" t="s">
        <v>17</v>
      </c>
      <c r="H19" t="s">
        <v>25</v>
      </c>
      <c r="I19" t="s">
        <v>91</v>
      </c>
      <c r="J19">
        <v>2</v>
      </c>
      <c r="K19" t="s">
        <v>20</v>
      </c>
      <c r="L19" t="s">
        <v>92</v>
      </c>
    </row>
    <row r="20" spans="1:12" x14ac:dyDescent="0.35">
      <c r="A20" t="s">
        <v>93</v>
      </c>
      <c r="B20" t="s">
        <v>13</v>
      </c>
      <c r="C20" t="s">
        <v>14</v>
      </c>
      <c r="D20" t="s">
        <v>15</v>
      </c>
      <c r="E20">
        <v>11997</v>
      </c>
      <c r="F20" t="s">
        <v>94</v>
      </c>
      <c r="G20" t="s">
        <v>17</v>
      </c>
      <c r="H20" t="s">
        <v>18</v>
      </c>
      <c r="I20" t="s">
        <v>95</v>
      </c>
      <c r="J20">
        <v>2</v>
      </c>
      <c r="K20" t="s">
        <v>20</v>
      </c>
      <c r="L20" t="s">
        <v>96</v>
      </c>
    </row>
    <row r="21" spans="1:12" x14ac:dyDescent="0.35">
      <c r="A21" t="s">
        <v>93</v>
      </c>
      <c r="B21" t="s">
        <v>13</v>
      </c>
      <c r="C21" t="s">
        <v>22</v>
      </c>
      <c r="D21" t="s">
        <v>23</v>
      </c>
      <c r="E21">
        <v>414</v>
      </c>
      <c r="F21" t="s">
        <v>97</v>
      </c>
      <c r="G21" t="s">
        <v>17</v>
      </c>
      <c r="H21" t="s">
        <v>25</v>
      </c>
      <c r="I21" t="s">
        <v>98</v>
      </c>
      <c r="J21">
        <v>2</v>
      </c>
      <c r="K21" t="s">
        <v>20</v>
      </c>
      <c r="L21" t="s">
        <v>99</v>
      </c>
    </row>
    <row r="22" spans="1:12" x14ac:dyDescent="0.35">
      <c r="A22" t="s">
        <v>93</v>
      </c>
      <c r="B22" t="s">
        <v>28</v>
      </c>
      <c r="C22" t="s">
        <v>14</v>
      </c>
      <c r="D22" t="s">
        <v>15</v>
      </c>
      <c r="E22">
        <v>1567</v>
      </c>
      <c r="F22" t="s">
        <v>100</v>
      </c>
      <c r="G22" t="s">
        <v>17</v>
      </c>
      <c r="H22" t="s">
        <v>18</v>
      </c>
      <c r="I22">
        <v>2</v>
      </c>
      <c r="J22" t="s">
        <v>20</v>
      </c>
      <c r="K22" t="s">
        <v>101</v>
      </c>
    </row>
    <row r="23" spans="1:12" x14ac:dyDescent="0.35">
      <c r="A23" t="s">
        <v>93</v>
      </c>
      <c r="B23" t="s">
        <v>28</v>
      </c>
      <c r="C23" t="s">
        <v>22</v>
      </c>
      <c r="D23" t="s">
        <v>23</v>
      </c>
      <c r="E23">
        <v>368</v>
      </c>
      <c r="F23" t="s">
        <v>102</v>
      </c>
      <c r="G23" t="s">
        <v>17</v>
      </c>
      <c r="H23" t="s">
        <v>25</v>
      </c>
      <c r="I23">
        <v>2</v>
      </c>
      <c r="J23" t="s">
        <v>20</v>
      </c>
      <c r="K23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E349-3359-41D6-B42B-4B11282C78DD}">
  <dimension ref="A1:H23"/>
  <sheetViews>
    <sheetView tabSelected="1" workbookViewId="0">
      <selection activeCell="H2" sqref="H2"/>
    </sheetView>
  </sheetViews>
  <sheetFormatPr defaultRowHeight="14.5" x14ac:dyDescent="0.35"/>
  <sheetData>
    <row r="1" spans="1:8" ht="15" thickBot="1" x14ac:dyDescent="0.4">
      <c r="A1" s="1" t="s">
        <v>0</v>
      </c>
      <c r="B1" s="1" t="s">
        <v>1</v>
      </c>
      <c r="C1" s="1" t="s">
        <v>59</v>
      </c>
      <c r="D1" s="1" t="s">
        <v>2</v>
      </c>
      <c r="E1" s="1" t="s">
        <v>4</v>
      </c>
      <c r="F1" s="1" t="s">
        <v>5</v>
      </c>
      <c r="G1" s="1" t="s">
        <v>60</v>
      </c>
      <c r="H1" s="1"/>
    </row>
    <row r="2" spans="1:8" x14ac:dyDescent="0.35">
      <c r="A2" s="2" t="s">
        <v>12</v>
      </c>
      <c r="B2" s="3" t="s">
        <v>13</v>
      </c>
      <c r="C2" s="3" t="s">
        <v>110</v>
      </c>
      <c r="D2" s="12" t="s">
        <v>14</v>
      </c>
      <c r="E2" s="3">
        <v>11193</v>
      </c>
      <c r="F2" s="3">
        <v>27955.200000000001</v>
      </c>
      <c r="G2" s="4">
        <f>E2 / SUMIFS($E:$E,$C:$C,$C2)</f>
        <v>0.85397116044861521</v>
      </c>
    </row>
    <row r="3" spans="1:8" x14ac:dyDescent="0.35">
      <c r="A3" s="5" t="s">
        <v>12</v>
      </c>
      <c r="B3" s="18" t="s">
        <v>13</v>
      </c>
      <c r="C3" s="18" t="s">
        <v>110</v>
      </c>
      <c r="D3" s="19" t="s">
        <v>22</v>
      </c>
      <c r="E3" s="18">
        <v>1914</v>
      </c>
      <c r="F3" s="18">
        <v>4780.3</v>
      </c>
      <c r="G3" s="6">
        <f t="shared" ref="G3:G23" si="0">E3 / SUMIFS($E:$E,$C:$C,$C3)</f>
        <v>0.14602883955138476</v>
      </c>
    </row>
    <row r="4" spans="1:8" x14ac:dyDescent="0.35">
      <c r="A4" s="33" t="s">
        <v>12</v>
      </c>
      <c r="B4" s="30" t="s">
        <v>28</v>
      </c>
      <c r="C4" s="30" t="s">
        <v>61</v>
      </c>
      <c r="D4" s="21" t="s">
        <v>14</v>
      </c>
      <c r="E4" s="30">
        <v>1282</v>
      </c>
      <c r="F4" s="30">
        <v>28977</v>
      </c>
      <c r="G4" s="36">
        <f t="shared" si="0"/>
        <v>0.74232773595830925</v>
      </c>
    </row>
    <row r="5" spans="1:8" x14ac:dyDescent="0.35">
      <c r="A5" s="33" t="s">
        <v>12</v>
      </c>
      <c r="B5" s="30" t="s">
        <v>28</v>
      </c>
      <c r="C5" s="30" t="s">
        <v>61</v>
      </c>
      <c r="D5" s="19" t="s">
        <v>22</v>
      </c>
      <c r="E5" s="30">
        <v>445</v>
      </c>
      <c r="F5" s="30">
        <v>10058.299999999999</v>
      </c>
      <c r="G5" s="36">
        <f t="shared" si="0"/>
        <v>0.2576722640416908</v>
      </c>
    </row>
    <row r="6" spans="1:8" x14ac:dyDescent="0.35">
      <c r="A6" s="7" t="s">
        <v>35</v>
      </c>
      <c r="B6" s="20" t="s">
        <v>13</v>
      </c>
      <c r="C6" s="20" t="s">
        <v>62</v>
      </c>
      <c r="D6" s="21" t="s">
        <v>14</v>
      </c>
      <c r="E6" s="20">
        <v>5551</v>
      </c>
      <c r="F6" s="20">
        <v>42377.3</v>
      </c>
      <c r="G6" s="8">
        <f t="shared" si="0"/>
        <v>0.98439439616953361</v>
      </c>
    </row>
    <row r="7" spans="1:8" x14ac:dyDescent="0.35">
      <c r="A7" s="7" t="s">
        <v>35</v>
      </c>
      <c r="B7" s="20" t="s">
        <v>13</v>
      </c>
      <c r="C7" s="20" t="s">
        <v>62</v>
      </c>
      <c r="D7" s="19" t="s">
        <v>22</v>
      </c>
      <c r="E7" s="20">
        <v>88</v>
      </c>
      <c r="F7" s="20">
        <v>671.8</v>
      </c>
      <c r="G7" s="8">
        <f t="shared" si="0"/>
        <v>1.5605603830466394E-2</v>
      </c>
    </row>
    <row r="8" spans="1:8" x14ac:dyDescent="0.35">
      <c r="A8" s="34" t="s">
        <v>35</v>
      </c>
      <c r="B8" s="31" t="s">
        <v>28</v>
      </c>
      <c r="C8" s="31" t="s">
        <v>63</v>
      </c>
      <c r="D8" s="21" t="s">
        <v>14</v>
      </c>
      <c r="E8" s="31">
        <v>3621</v>
      </c>
      <c r="F8" s="31">
        <v>44742.400000000001</v>
      </c>
      <c r="G8" s="37">
        <f t="shared" si="0"/>
        <v>0.95214304496450175</v>
      </c>
    </row>
    <row r="9" spans="1:8" x14ac:dyDescent="0.35">
      <c r="A9" s="34" t="s">
        <v>35</v>
      </c>
      <c r="B9" s="31" t="s">
        <v>28</v>
      </c>
      <c r="C9" s="31" t="s">
        <v>63</v>
      </c>
      <c r="D9" s="19" t="s">
        <v>22</v>
      </c>
      <c r="E9" s="31">
        <v>182</v>
      </c>
      <c r="F9" s="31">
        <v>2248.9</v>
      </c>
      <c r="G9" s="37">
        <f t="shared" si="0"/>
        <v>4.7856955035498291E-2</v>
      </c>
    </row>
    <row r="10" spans="1:8" x14ac:dyDescent="0.35">
      <c r="A10" s="9" t="s">
        <v>46</v>
      </c>
      <c r="B10" s="22" t="s">
        <v>13</v>
      </c>
      <c r="C10" s="22" t="s">
        <v>64</v>
      </c>
      <c r="D10" s="21" t="s">
        <v>14</v>
      </c>
      <c r="E10" s="22">
        <v>7007</v>
      </c>
      <c r="F10" s="22">
        <v>26233.9</v>
      </c>
      <c r="G10" s="10">
        <f t="shared" si="0"/>
        <v>0.6273614468618498</v>
      </c>
    </row>
    <row r="11" spans="1:8" x14ac:dyDescent="0.35">
      <c r="A11" s="9" t="s">
        <v>46</v>
      </c>
      <c r="B11" s="22" t="s">
        <v>13</v>
      </c>
      <c r="C11" s="22" t="s">
        <v>64</v>
      </c>
      <c r="D11" s="19" t="s">
        <v>22</v>
      </c>
      <c r="E11" s="22">
        <v>4162</v>
      </c>
      <c r="F11" s="22">
        <v>15582.4</v>
      </c>
      <c r="G11" s="10">
        <f t="shared" si="0"/>
        <v>0.37263855313815025</v>
      </c>
    </row>
    <row r="12" spans="1:8" x14ac:dyDescent="0.35">
      <c r="A12" s="35" t="s">
        <v>46</v>
      </c>
      <c r="B12" s="32" t="s">
        <v>28</v>
      </c>
      <c r="C12" s="32" t="s">
        <v>65</v>
      </c>
      <c r="D12" s="19" t="s">
        <v>22</v>
      </c>
      <c r="E12" s="32">
        <v>1716</v>
      </c>
      <c r="F12" s="32">
        <v>17440.3</v>
      </c>
      <c r="G12" s="38">
        <f t="shared" si="0"/>
        <v>0.50307827616534739</v>
      </c>
    </row>
    <row r="13" spans="1:8" x14ac:dyDescent="0.35">
      <c r="A13" s="35" t="s">
        <v>46</v>
      </c>
      <c r="B13" s="32" t="s">
        <v>28</v>
      </c>
      <c r="C13" s="32" t="s">
        <v>65</v>
      </c>
      <c r="D13" s="21" t="s">
        <v>14</v>
      </c>
      <c r="E13" s="32">
        <v>1695</v>
      </c>
      <c r="F13" s="32">
        <v>17226.8</v>
      </c>
      <c r="G13" s="38">
        <f t="shared" si="0"/>
        <v>0.49692172383465261</v>
      </c>
    </row>
    <row r="14" spans="1:8" x14ac:dyDescent="0.35">
      <c r="A14" s="13" t="s">
        <v>73</v>
      </c>
      <c r="B14" s="23" t="s">
        <v>13</v>
      </c>
      <c r="C14" s="23" t="s">
        <v>108</v>
      </c>
      <c r="D14" s="21" t="s">
        <v>14</v>
      </c>
      <c r="E14" s="23">
        <v>12162</v>
      </c>
      <c r="F14" s="23">
        <v>28178.9</v>
      </c>
      <c r="G14" s="39">
        <f t="shared" si="0"/>
        <v>0.90632684998882185</v>
      </c>
    </row>
    <row r="15" spans="1:8" x14ac:dyDescent="0.35">
      <c r="A15" s="13" t="s">
        <v>73</v>
      </c>
      <c r="B15" s="23" t="s">
        <v>13</v>
      </c>
      <c r="C15" s="23" t="s">
        <v>108</v>
      </c>
      <c r="D15" s="19" t="s">
        <v>22</v>
      </c>
      <c r="E15" s="23">
        <v>1257</v>
      </c>
      <c r="F15" s="23">
        <v>2912.4</v>
      </c>
      <c r="G15" s="39">
        <f t="shared" si="0"/>
        <v>9.367315001117818E-2</v>
      </c>
    </row>
    <row r="16" spans="1:8" x14ac:dyDescent="0.35">
      <c r="A16" s="14" t="s">
        <v>73</v>
      </c>
      <c r="B16" s="24" t="s">
        <v>28</v>
      </c>
      <c r="C16" s="24" t="s">
        <v>109</v>
      </c>
      <c r="D16" s="21" t="s">
        <v>14</v>
      </c>
      <c r="E16" s="24">
        <v>309</v>
      </c>
      <c r="F16" s="24">
        <v>38275.699999999997</v>
      </c>
      <c r="G16" s="40">
        <f t="shared" si="0"/>
        <v>0.62048192771084343</v>
      </c>
    </row>
    <row r="17" spans="1:7" x14ac:dyDescent="0.35">
      <c r="A17" s="14" t="s">
        <v>73</v>
      </c>
      <c r="B17" s="24" t="s">
        <v>28</v>
      </c>
      <c r="C17" s="24" t="s">
        <v>109</v>
      </c>
      <c r="D17" s="19" t="s">
        <v>22</v>
      </c>
      <c r="E17" s="24">
        <v>189</v>
      </c>
      <c r="F17" s="24">
        <v>23411.4</v>
      </c>
      <c r="G17" s="40">
        <f t="shared" si="0"/>
        <v>0.37951807228915663</v>
      </c>
    </row>
    <row r="18" spans="1:7" x14ac:dyDescent="0.35">
      <c r="A18" s="15" t="s">
        <v>104</v>
      </c>
      <c r="B18" s="25" t="s">
        <v>13</v>
      </c>
      <c r="C18" s="25" t="s">
        <v>105</v>
      </c>
      <c r="D18" s="21" t="s">
        <v>14</v>
      </c>
      <c r="E18" s="25">
        <v>13084</v>
      </c>
      <c r="F18" s="25">
        <v>42176.4</v>
      </c>
      <c r="G18" s="41">
        <f t="shared" si="0"/>
        <v>0.96682184290253459</v>
      </c>
    </row>
    <row r="19" spans="1:7" x14ac:dyDescent="0.35">
      <c r="A19" s="15" t="s">
        <v>104</v>
      </c>
      <c r="B19" s="25" t="s">
        <v>13</v>
      </c>
      <c r="C19" s="25" t="s">
        <v>105</v>
      </c>
      <c r="D19" s="19" t="s">
        <v>22</v>
      </c>
      <c r="E19" s="25">
        <v>449</v>
      </c>
      <c r="F19" s="25">
        <v>1447.4</v>
      </c>
      <c r="G19" s="41">
        <f t="shared" si="0"/>
        <v>3.3178157097465452E-2</v>
      </c>
    </row>
    <row r="20" spans="1:7" x14ac:dyDescent="0.35">
      <c r="A20" s="16" t="s">
        <v>93</v>
      </c>
      <c r="B20" s="26" t="s">
        <v>13</v>
      </c>
      <c r="C20" s="26" t="s">
        <v>106</v>
      </c>
      <c r="D20" s="21" t="s">
        <v>14</v>
      </c>
      <c r="E20" s="26">
        <v>11997</v>
      </c>
      <c r="F20" s="26">
        <v>39810.5</v>
      </c>
      <c r="G20" s="42">
        <f t="shared" si="0"/>
        <v>0.96664249456127627</v>
      </c>
    </row>
    <row r="21" spans="1:7" x14ac:dyDescent="0.35">
      <c r="A21" s="16" t="s">
        <v>93</v>
      </c>
      <c r="B21" s="26" t="s">
        <v>13</v>
      </c>
      <c r="C21" s="26" t="s">
        <v>106</v>
      </c>
      <c r="D21" s="19" t="s">
        <v>22</v>
      </c>
      <c r="E21" s="26">
        <v>414</v>
      </c>
      <c r="F21" s="26">
        <v>1373.8</v>
      </c>
      <c r="G21" s="42">
        <f t="shared" si="0"/>
        <v>3.3357505438723713E-2</v>
      </c>
    </row>
    <row r="22" spans="1:7" x14ac:dyDescent="0.35">
      <c r="A22" s="17" t="s">
        <v>93</v>
      </c>
      <c r="B22" s="27" t="s">
        <v>28</v>
      </c>
      <c r="C22" s="27" t="s">
        <v>107</v>
      </c>
      <c r="D22" s="21" t="s">
        <v>14</v>
      </c>
      <c r="E22" s="27">
        <v>1567</v>
      </c>
      <c r="F22" s="27">
        <v>28280.1</v>
      </c>
      <c r="G22" s="43">
        <f t="shared" si="0"/>
        <v>0.80981912144702839</v>
      </c>
    </row>
    <row r="23" spans="1:7" ht="15" thickBot="1" x14ac:dyDescent="0.4">
      <c r="A23" s="28" t="s">
        <v>93</v>
      </c>
      <c r="B23" s="29" t="s">
        <v>28</v>
      </c>
      <c r="C23" s="29" t="s">
        <v>107</v>
      </c>
      <c r="D23" s="11" t="s">
        <v>22</v>
      </c>
      <c r="E23" s="29">
        <v>368</v>
      </c>
      <c r="F23" s="29">
        <v>6641.4</v>
      </c>
      <c r="G23" s="44">
        <f t="shared" si="0"/>
        <v>0.19018087855297158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2AC2-F5B3-4B51-8515-726F86092BCA}">
  <dimension ref="A1:L3"/>
  <sheetViews>
    <sheetView zoomScaleNormal="100" workbookViewId="0">
      <selection activeCell="Q16" sqref="Q16"/>
    </sheetView>
  </sheetViews>
  <sheetFormatPr defaultRowHeight="14.5" x14ac:dyDescent="0.35"/>
  <sheetData>
    <row r="1" spans="1:12" s="1" customFormat="1" x14ac:dyDescent="0.35">
      <c r="A1" s="1" t="s">
        <v>66</v>
      </c>
      <c r="B1" s="1" t="s">
        <v>69</v>
      </c>
      <c r="C1" s="1" t="s">
        <v>70</v>
      </c>
      <c r="D1" s="1" t="s">
        <v>67</v>
      </c>
      <c r="E1" s="1" t="s">
        <v>68</v>
      </c>
      <c r="F1" s="1" t="s">
        <v>111</v>
      </c>
      <c r="G1" s="1" t="s">
        <v>112</v>
      </c>
      <c r="H1" s="1" t="s">
        <v>113</v>
      </c>
      <c r="I1" s="1" t="s">
        <v>71</v>
      </c>
      <c r="J1" s="1" t="s">
        <v>72</v>
      </c>
      <c r="K1" s="1" t="s">
        <v>114</v>
      </c>
      <c r="L1" s="1" t="s">
        <v>115</v>
      </c>
    </row>
    <row r="2" spans="1:12" x14ac:dyDescent="0.35">
      <c r="A2" t="s">
        <v>14</v>
      </c>
      <c r="B2">
        <v>0.98439439616953361</v>
      </c>
      <c r="C2">
        <v>0.95214304496450175</v>
      </c>
      <c r="D2">
        <v>0.85397116044861521</v>
      </c>
      <c r="E2">
        <v>0.74232773595830925</v>
      </c>
      <c r="F2">
        <v>0.96682184290253459</v>
      </c>
      <c r="G2">
        <v>0.96664249456127627</v>
      </c>
      <c r="H2">
        <v>0.80981912144702839</v>
      </c>
      <c r="I2">
        <v>0.6273614468618498</v>
      </c>
      <c r="J2">
        <v>0.49692172383465261</v>
      </c>
      <c r="K2">
        <v>0.90632684998882185</v>
      </c>
      <c r="L2">
        <v>0.62048192771084343</v>
      </c>
    </row>
    <row r="3" spans="1:12" x14ac:dyDescent="0.35">
      <c r="A3" t="s">
        <v>22</v>
      </c>
      <c r="B3">
        <v>1.5605603830466394E-2</v>
      </c>
      <c r="C3">
        <v>4.7856955035498291E-2</v>
      </c>
      <c r="D3">
        <v>0.14602883955138476</v>
      </c>
      <c r="E3">
        <v>0.2576722640416908</v>
      </c>
      <c r="F3">
        <v>3.3178157097465452E-2</v>
      </c>
      <c r="G3">
        <v>3.3357505438723713E-2</v>
      </c>
      <c r="H3">
        <v>0.19018087855297158</v>
      </c>
      <c r="I3">
        <v>0.37263855313815025</v>
      </c>
      <c r="J3">
        <v>0.50307827616534739</v>
      </c>
      <c r="K3">
        <v>9.367315001117818E-2</v>
      </c>
      <c r="L3">
        <v>0.37951807228915663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stats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Nives Hüll</dc:creator>
  <cp:keywords/>
  <dc:description/>
  <cp:lastModifiedBy>Nives Hüll</cp:lastModifiedBy>
  <cp:revision/>
  <dcterms:created xsi:type="dcterms:W3CDTF">2025-02-22T14:29:08Z</dcterms:created>
  <dcterms:modified xsi:type="dcterms:W3CDTF">2025-03-27T07:50:49Z</dcterms:modified>
  <cp:category/>
  <cp:contentStatus/>
</cp:coreProperties>
</file>